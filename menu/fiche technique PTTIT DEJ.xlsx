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f4cd50430fa6682f/KERMEN BUSINESS BEY/FICHE TECHNIQUE ET COUTS/"/>
    </mc:Choice>
  </mc:AlternateContent>
  <xr:revisionPtr revIDLastSave="57" documentId="13_ncr:1_{45590D40-A50A-40B8-8B67-631019D71BFD}" xr6:coauthVersionLast="47" xr6:coauthVersionMax="47" xr10:uidLastSave="{BCDF7D2D-70F2-4450-A9F6-16CD270D65A8}"/>
  <bookViews>
    <workbookView xWindow="-120" yWindow="-120" windowWidth="29040" windowHeight="15720" xr2:uid="{14686736-3A44-4828-82C4-BA48B0EB6E60}"/>
  </bookViews>
  <sheets>
    <sheet name="fiche tech cuisine" sheetId="3" r:id="rId1"/>
    <sheet name="fiche tech pattisseri" sheetId="4" r:id="rId2"/>
    <sheet name="fich tech pizza" sheetId="5" r:id="rId3"/>
    <sheet name="fiche tech chica" sheetId="7" r:id="rId4"/>
    <sheet name="fich tech bar" sheetId="8" r:id="rId5"/>
    <sheet name="fiche tech petit dej" sheetId="2" r:id="rId6"/>
    <sheet name="fiche tech petit dej corrigée" sheetId="9" r:id="rId7"/>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77" i="4" l="1"/>
  <c r="D173" i="2"/>
  <c r="D338" i="2"/>
  <c r="F5" i="9"/>
  <c r="F3" i="9"/>
  <c r="F9" i="9" s="1"/>
  <c r="D370" i="9"/>
  <c r="D359" i="9"/>
  <c r="D353" i="9"/>
  <c r="D345" i="9"/>
  <c r="D333" i="9"/>
  <c r="D323" i="9"/>
  <c r="D314" i="9"/>
  <c r="D306" i="9"/>
  <c r="D295" i="9"/>
  <c r="D282" i="9"/>
  <c r="D269" i="9"/>
  <c r="D261" i="9"/>
  <c r="D252" i="9"/>
  <c r="D244" i="9"/>
  <c r="D236" i="9"/>
  <c r="D229" i="9"/>
  <c r="D221" i="9"/>
  <c r="D214" i="9"/>
  <c r="D205" i="9"/>
  <c r="D196" i="9"/>
  <c r="D182" i="9"/>
  <c r="D172" i="9"/>
  <c r="E161" i="9"/>
  <c r="E154" i="9"/>
  <c r="E162" i="9" s="1"/>
  <c r="D136" i="9"/>
  <c r="E127" i="9"/>
  <c r="E122" i="9"/>
  <c r="E128" i="9" s="1"/>
  <c r="E108" i="9"/>
  <c r="E103" i="9"/>
  <c r="E93" i="9"/>
  <c r="E83" i="9"/>
  <c r="E78" i="9"/>
  <c r="F69" i="9"/>
  <c r="F63" i="9"/>
  <c r="F36" i="9"/>
  <c r="F28" i="9"/>
  <c r="F425" i="8"/>
  <c r="F441" i="8"/>
  <c r="F437" i="8"/>
  <c r="F433" i="8"/>
  <c r="F429" i="8"/>
  <c r="F422" i="8"/>
  <c r="F417" i="8"/>
  <c r="F415" i="8"/>
  <c r="F403" i="8"/>
  <c r="F390" i="8"/>
  <c r="F385" i="8"/>
  <c r="F379" i="8"/>
  <c r="F375" i="8"/>
  <c r="F371" i="8"/>
  <c r="F368" i="8"/>
  <c r="F360" i="8"/>
  <c r="F356" i="8"/>
  <c r="F353" i="8"/>
  <c r="E339" i="8"/>
  <c r="E336" i="8"/>
  <c r="E332" i="8"/>
  <c r="E324" i="8"/>
  <c r="E320" i="8"/>
  <c r="E317" i="8"/>
  <c r="E314" i="8"/>
  <c r="E311" i="8"/>
  <c r="E306" i="8"/>
  <c r="E303" i="8"/>
  <c r="E282" i="8"/>
  <c r="E277" i="8"/>
  <c r="E272" i="8"/>
  <c r="E267" i="8"/>
  <c r="E262" i="8"/>
  <c r="E257" i="8"/>
  <c r="E253" i="8"/>
  <c r="E228" i="8"/>
  <c r="E224" i="8"/>
  <c r="E220" i="8"/>
  <c r="E216" i="8"/>
  <c r="E212" i="8"/>
  <c r="E208" i="8"/>
  <c r="E203" i="8"/>
  <c r="E173" i="8"/>
  <c r="E166" i="8"/>
  <c r="E162" i="8"/>
  <c r="E156" i="8"/>
  <c r="E153" i="8"/>
  <c r="E143" i="8"/>
  <c r="E141" i="8"/>
  <c r="E139" i="8"/>
  <c r="E137" i="8"/>
  <c r="E130" i="8"/>
  <c r="E124" i="8"/>
  <c r="E122" i="8"/>
  <c r="E120" i="8"/>
  <c r="E93" i="8"/>
  <c r="E81" i="8"/>
  <c r="E78" i="8"/>
  <c r="E75" i="8"/>
  <c r="E69" i="8"/>
  <c r="E66" i="8"/>
  <c r="E63" i="8"/>
  <c r="E60" i="8"/>
  <c r="E58" i="8"/>
  <c r="E52" i="8"/>
  <c r="E21" i="8"/>
  <c r="E17" i="8"/>
  <c r="E15" i="8"/>
  <c r="E12" i="8"/>
  <c r="E10" i="8"/>
  <c r="E7" i="8"/>
  <c r="E5" i="8"/>
  <c r="E109" i="9" l="1"/>
  <c r="E84" i="9"/>
  <c r="E70" i="9"/>
  <c r="E487" i="8"/>
  <c r="E495" i="8"/>
  <c r="E482" i="8" l="1"/>
  <c r="E473" i="8"/>
  <c r="E462" i="8"/>
  <c r="D523" i="4" l="1"/>
  <c r="D397" i="4"/>
  <c r="D535" i="4"/>
  <c r="D385" i="4"/>
  <c r="D373" i="4"/>
  <c r="D362" i="4"/>
  <c r="D351" i="4"/>
  <c r="D339" i="4"/>
  <c r="D511" i="4"/>
  <c r="D328" i="4"/>
  <c r="D497" i="4"/>
  <c r="D317" i="4"/>
  <c r="D489" i="4"/>
  <c r="D480" i="4"/>
  <c r="D193" i="4"/>
  <c r="D309" i="4"/>
  <c r="D295" i="4"/>
  <c r="D286" i="4"/>
  <c r="D278" i="4"/>
  <c r="D269" i="4"/>
  <c r="D259" i="4"/>
  <c r="D246" i="4"/>
  <c r="D237" i="4"/>
  <c r="D266" i="3"/>
  <c r="D378" i="2"/>
  <c r="D367" i="2"/>
  <c r="E169" i="2"/>
  <c r="E162" i="2"/>
  <c r="D361" i="2"/>
  <c r="D229" i="4"/>
  <c r="D223" i="4"/>
  <c r="D215" i="4"/>
  <c r="D462" i="4"/>
  <c r="D210" i="4"/>
  <c r="D470" i="4"/>
  <c r="D144" i="2"/>
  <c r="D260" i="2"/>
  <c r="E135" i="2"/>
  <c r="E130" i="2"/>
  <c r="E111" i="2"/>
  <c r="E116" i="2"/>
  <c r="D353" i="2"/>
  <c r="D341" i="2"/>
  <c r="E341" i="2" s="1"/>
  <c r="D314" i="2"/>
  <c r="D271" i="5"/>
  <c r="D258" i="5"/>
  <c r="D246" i="5"/>
  <c r="D190" i="2"/>
  <c r="E190" i="2" s="1"/>
  <c r="D269" i="2"/>
  <c r="D331" i="2"/>
  <c r="D322" i="2"/>
  <c r="D238" i="5"/>
  <c r="D225" i="5"/>
  <c r="D212" i="5"/>
  <c r="D189" i="5"/>
  <c r="D176" i="5"/>
  <c r="D163" i="5"/>
  <c r="D140" i="5"/>
  <c r="D125" i="5"/>
  <c r="D113" i="5"/>
  <c r="D98" i="5"/>
  <c r="D86" i="5"/>
  <c r="D74" i="5"/>
  <c r="D62" i="5"/>
  <c r="D38" i="5"/>
  <c r="D26" i="5"/>
  <c r="D13" i="5"/>
  <c r="D441" i="4"/>
  <c r="D185" i="4"/>
  <c r="D170" i="4"/>
  <c r="D158" i="4"/>
  <c r="D147" i="4"/>
  <c r="D141" i="4"/>
  <c r="D132" i="4"/>
  <c r="D124" i="4"/>
  <c r="D116" i="4"/>
  <c r="D108" i="4"/>
  <c r="D96" i="4"/>
  <c r="D88" i="4"/>
  <c r="D80" i="4"/>
  <c r="D72" i="4"/>
  <c r="D449" i="4"/>
  <c r="E74" i="2"/>
  <c r="E79" i="2"/>
  <c r="E101" i="2"/>
  <c r="D61" i="4"/>
  <c r="D411" i="4"/>
  <c r="D252" i="2"/>
  <c r="E252" i="2" s="1"/>
  <c r="D277" i="2"/>
  <c r="D229" i="2"/>
  <c r="D244" i="2"/>
  <c r="D237" i="2"/>
  <c r="D422" i="4"/>
  <c r="D303" i="2"/>
  <c r="D290" i="2"/>
  <c r="D44" i="4"/>
  <c r="D33" i="4"/>
  <c r="D22" i="4"/>
  <c r="D11" i="4"/>
  <c r="D433" i="4"/>
  <c r="F65" i="2"/>
  <c r="F59" i="2"/>
  <c r="F36" i="2"/>
  <c r="F28" i="2"/>
  <c r="F9" i="2"/>
  <c r="E170" i="2" l="1"/>
  <c r="E136" i="2"/>
  <c r="E80" i="2"/>
  <c r="E117" i="2"/>
  <c r="E66" i="2"/>
  <c r="D222" i="2"/>
  <c r="D213" i="2"/>
  <c r="D204" i="2"/>
  <c r="E204" i="2" s="1"/>
  <c r="D180" i="2"/>
  <c r="E180" i="2" s="1"/>
  <c r="F180" i="2" s="1"/>
  <c r="D663" i="3"/>
  <c r="D678" i="3"/>
  <c r="D589" i="3"/>
  <c r="D607" i="3"/>
  <c r="D623" i="3"/>
  <c r="D553" i="3"/>
  <c r="D565" i="3"/>
  <c r="D577" i="3"/>
  <c r="D506" i="3"/>
  <c r="D522" i="3"/>
  <c r="D538" i="3"/>
  <c r="D472" i="3"/>
  <c r="D489" i="3"/>
  <c r="D430" i="3"/>
  <c r="D456" i="3"/>
  <c r="D412" i="3"/>
  <c r="D357" i="3"/>
  <c r="D373" i="3"/>
  <c r="D304" i="3"/>
  <c r="D316" i="3"/>
  <c r="D329" i="3"/>
  <c r="D251" i="3"/>
  <c r="D281" i="3"/>
  <c r="D202" i="3"/>
  <c r="D217" i="3"/>
  <c r="D226" i="3"/>
  <c r="D237" i="3"/>
  <c r="D151" i="3"/>
  <c r="D168" i="3"/>
  <c r="D186" i="3"/>
  <c r="D126" i="3"/>
  <c r="D138" i="3"/>
  <c r="D103" i="3"/>
  <c r="D115" i="3"/>
  <c r="D89" i="3"/>
  <c r="D78" i="3"/>
  <c r="D68" i="3"/>
  <c r="D58" i="3"/>
  <c r="D47" i="3"/>
  <c r="D33" i="3"/>
  <c r="D26" i="3"/>
  <c r="D11" i="3"/>
</calcChain>
</file>

<file path=xl/sharedStrings.xml><?xml version="1.0" encoding="utf-8"?>
<sst xmlns="http://schemas.openxmlformats.org/spreadsheetml/2006/main" count="4473" uniqueCount="928">
  <si>
    <t>ingr</t>
  </si>
  <si>
    <t>salade césar</t>
  </si>
  <si>
    <t>laitu</t>
  </si>
  <si>
    <t>tomate sérise</t>
  </si>
  <si>
    <t>parmésan</t>
  </si>
  <si>
    <t>noix</t>
  </si>
  <si>
    <t>sauce césar</t>
  </si>
  <si>
    <t>poulet</t>
  </si>
  <si>
    <t xml:space="preserve">crocon </t>
  </si>
  <si>
    <t>cout</t>
  </si>
  <si>
    <t>100g</t>
  </si>
  <si>
    <t>30g</t>
  </si>
  <si>
    <t>20g</t>
  </si>
  <si>
    <t>50g</t>
  </si>
  <si>
    <t>150g</t>
  </si>
  <si>
    <t>120g</t>
  </si>
  <si>
    <t>roquette</t>
  </si>
  <si>
    <t>1p</t>
  </si>
  <si>
    <t>salade tropical</t>
  </si>
  <si>
    <t>BRIKI AUX THON</t>
  </si>
  <si>
    <t>Fromage</t>
  </si>
  <si>
    <t>brik</t>
  </si>
  <si>
    <t>œuf</t>
  </si>
  <si>
    <t>thon</t>
  </si>
  <si>
    <t>BRIK AUX CHEVRETTE</t>
  </si>
  <si>
    <t>fromage</t>
  </si>
  <si>
    <t>chevrette</t>
  </si>
  <si>
    <t>MOULE</t>
  </si>
  <si>
    <t>gramage</t>
  </si>
  <si>
    <t>10g</t>
  </si>
  <si>
    <t>miel</t>
  </si>
  <si>
    <t>CARPACCIO POULPE</t>
  </si>
  <si>
    <t>POULPE</t>
  </si>
  <si>
    <t>PARMESON</t>
  </si>
  <si>
    <t>TOMATE CERISE</t>
  </si>
  <si>
    <t>NOIX</t>
  </si>
  <si>
    <t>ROQUETTE</t>
  </si>
  <si>
    <t>HUIL D'OLIVE</t>
  </si>
  <si>
    <t>CARPACCIO POULET FUME</t>
  </si>
  <si>
    <t>POULET FUME</t>
  </si>
  <si>
    <t>OIGNON</t>
  </si>
  <si>
    <t>PERSIL</t>
  </si>
  <si>
    <t>BEURRE</t>
  </si>
  <si>
    <t>AIL</t>
  </si>
  <si>
    <t>EMINCE DE POULET AU Façon DU CHEF</t>
  </si>
  <si>
    <t>ESCALOPE</t>
  </si>
  <si>
    <t>ŒUF</t>
  </si>
  <si>
    <t>SEL ET POIVRE</t>
  </si>
  <si>
    <t>KORKOM</t>
  </si>
  <si>
    <t>EKLIL ET ZAATER</t>
  </si>
  <si>
    <t>OJJA CHEVRETTE</t>
  </si>
  <si>
    <t>CHEVRETTE</t>
  </si>
  <si>
    <t>POIVRE VERT</t>
  </si>
  <si>
    <t>TOMATE</t>
  </si>
  <si>
    <t>4 EPICE</t>
  </si>
  <si>
    <t>SEL ET PIVRE</t>
  </si>
  <si>
    <t>PAPRIKA</t>
  </si>
  <si>
    <t>PAPRICA</t>
  </si>
  <si>
    <t>MERGUEUZ</t>
  </si>
  <si>
    <t>GRATIN FRUIT FE MER</t>
  </si>
  <si>
    <t>SECHE</t>
  </si>
  <si>
    <t>MOUL</t>
  </si>
  <si>
    <t>CREME LIQUIDE</t>
  </si>
  <si>
    <t>PERMAISON</t>
  </si>
  <si>
    <t>MOZARELLA</t>
  </si>
  <si>
    <t>BASILIQUE</t>
  </si>
  <si>
    <t>SPAGHETTE BOLONAISE</t>
  </si>
  <si>
    <t>VIANDE HACHE</t>
  </si>
  <si>
    <t>SPAGHETTI</t>
  </si>
  <si>
    <t>PARMAISON</t>
  </si>
  <si>
    <t>TOMATE CONCENTRE</t>
  </si>
  <si>
    <t>TAGLIATELLI ALFREDO</t>
  </si>
  <si>
    <t>TAGLIATELLI</t>
  </si>
  <si>
    <t>POULET</t>
  </si>
  <si>
    <t>FROMAGE RAPE</t>
  </si>
  <si>
    <t>CHAMPIGNON</t>
  </si>
  <si>
    <t>SPAGHETTI FRUIT DE MER A LITALIENNE</t>
  </si>
  <si>
    <t>CREVETTE</t>
  </si>
  <si>
    <t>CLEVICE</t>
  </si>
  <si>
    <t>CRAPE</t>
  </si>
  <si>
    <t>SPAGHETTI FRUIT DE MER SAUCE ROUGE</t>
  </si>
  <si>
    <t>POIVRON SECHE</t>
  </si>
  <si>
    <t>TAGLIATELLI POULET PANNE SAUSE PISTO</t>
  </si>
  <si>
    <t>PIGNON</t>
  </si>
  <si>
    <t>PENNEE SAUMON SAUCE RAUSE</t>
  </si>
  <si>
    <t>PENNEE</t>
  </si>
  <si>
    <t>SAUMON</t>
  </si>
  <si>
    <t>CHOMPIGNON</t>
  </si>
  <si>
    <t>RAVIOLLI SAUMON SAUCE RAUSE</t>
  </si>
  <si>
    <t>RAVIOLLI SAUMON</t>
  </si>
  <si>
    <t>RAVIOLLI RIGOUTA EPINARD</t>
  </si>
  <si>
    <t>RAVIOLLI EPINARD</t>
  </si>
  <si>
    <t>PERMISON</t>
  </si>
  <si>
    <t>RAVIOLLI  BOLONAISE</t>
  </si>
  <si>
    <t>RAVIOLLI BOLONAISE</t>
  </si>
  <si>
    <t>RISOTTO POULET SAUCE ROSE</t>
  </si>
  <si>
    <t>RISOTTO</t>
  </si>
  <si>
    <t>TOMATE CONCNTRE</t>
  </si>
  <si>
    <t>RISOTTO FRUIT DE MER SAUCE BLANCHE</t>
  </si>
  <si>
    <t>MOULLE</t>
  </si>
  <si>
    <t>RISOTTO CHEVRETTE SAUCE PISTO AU BOUTARG</t>
  </si>
  <si>
    <t>BOUTARG</t>
  </si>
  <si>
    <t>RISOTTO CHEVRETTE ET SECH A LANCRE DE SECHE</t>
  </si>
  <si>
    <t>LANCRE DE SECHE</t>
  </si>
  <si>
    <t xml:space="preserve">FROMAGE RAPE </t>
  </si>
  <si>
    <t>ESCALOPE GRILLEE</t>
  </si>
  <si>
    <t>RIZ</t>
  </si>
  <si>
    <t>FRITTE</t>
  </si>
  <si>
    <t>TASTIRA</t>
  </si>
  <si>
    <t>MAYONNAISE</t>
  </si>
  <si>
    <t>CORNICHON</t>
  </si>
  <si>
    <t>CAPRES</t>
  </si>
  <si>
    <t>LEGUME SAUTE</t>
  </si>
  <si>
    <t>ESCALOPE A LA CREME</t>
  </si>
  <si>
    <t>FILET DE POULET CRAUNCHY</t>
  </si>
  <si>
    <t>FARINE</t>
  </si>
  <si>
    <t>SUPREME DE POULET FARCI</t>
  </si>
  <si>
    <t>CHAOMPIGNON</t>
  </si>
  <si>
    <t>PISTACHE</t>
  </si>
  <si>
    <t>CORDON BLEU</t>
  </si>
  <si>
    <t>JAMBON</t>
  </si>
  <si>
    <t>EMINCI DE BŒUF STROGANOF</t>
  </si>
  <si>
    <t>FILET DE BŒUF</t>
  </si>
  <si>
    <t>CAROTTE</t>
  </si>
  <si>
    <t>AMIDON</t>
  </si>
  <si>
    <t>TORNADO AU CROUTE PARMAISON</t>
  </si>
  <si>
    <t>ESCALOPE DE BŒUF PANNEE SAUCE PARMAISON</t>
  </si>
  <si>
    <t>CHAPLURE</t>
  </si>
  <si>
    <t>FILET WILINGTON</t>
  </si>
  <si>
    <t>PATE FOUETTER</t>
  </si>
  <si>
    <t>FILET DE BŒUF SAUCE CHOIX</t>
  </si>
  <si>
    <t>R0C FORT</t>
  </si>
  <si>
    <t>DAURADE GRILLEE</t>
  </si>
  <si>
    <t xml:space="preserve">DAURADE </t>
  </si>
  <si>
    <t>LOUP GRILLEE</t>
  </si>
  <si>
    <t>LOUP</t>
  </si>
  <si>
    <t>CREVETTE A LA CREME</t>
  </si>
  <si>
    <t>LOUP FARCI AU Façon du chef</t>
  </si>
  <si>
    <t>FILET DE LOUP</t>
  </si>
  <si>
    <t>SAUTTE FRUIT DE MER</t>
  </si>
  <si>
    <t>SECH</t>
  </si>
  <si>
    <t>POULP</t>
  </si>
  <si>
    <t xml:space="preserve">MOUL </t>
  </si>
  <si>
    <t>FRIT</t>
  </si>
  <si>
    <t xml:space="preserve">CREVETTE GRILLEE </t>
  </si>
  <si>
    <t>CARNAVAL DE BEY</t>
  </si>
  <si>
    <t>POISSON</t>
  </si>
  <si>
    <t>ŒUF DE SECH</t>
  </si>
  <si>
    <t>CALAMAR DORE</t>
  </si>
  <si>
    <t>PINCE DE CRAPE</t>
  </si>
  <si>
    <t>fell souri d'agneau</t>
  </si>
  <si>
    <t xml:space="preserve">SOURI D'AGNEAU </t>
  </si>
  <si>
    <t>FELL</t>
  </si>
  <si>
    <t>POIVRON VERT</t>
  </si>
  <si>
    <t>SOURI D'AGNEAU A LANGLAISE</t>
  </si>
  <si>
    <t>SOURI D'AGNEAU</t>
  </si>
  <si>
    <t>4 EPICES</t>
  </si>
  <si>
    <t>LEGUME SAUTTE</t>
  </si>
  <si>
    <t>laitue</t>
  </si>
  <si>
    <t>abrico seche</t>
  </si>
  <si>
    <t>brune seche</t>
  </si>
  <si>
    <t>raisin sec noir</t>
  </si>
  <si>
    <t>raisin sec rouge</t>
  </si>
  <si>
    <t>amande effilet</t>
  </si>
  <si>
    <t>permaison</t>
  </si>
  <si>
    <t>200g</t>
  </si>
  <si>
    <t>15g</t>
  </si>
  <si>
    <t>5g</t>
  </si>
  <si>
    <t>40g</t>
  </si>
  <si>
    <t>220g</t>
  </si>
  <si>
    <t>2p</t>
  </si>
  <si>
    <t>60g</t>
  </si>
  <si>
    <t>30cl</t>
  </si>
  <si>
    <t>180g</t>
  </si>
  <si>
    <t>6p</t>
  </si>
  <si>
    <t>60cl</t>
  </si>
  <si>
    <t>1/2p</t>
  </si>
  <si>
    <t>80cl</t>
  </si>
  <si>
    <t>20cl</t>
  </si>
  <si>
    <t>40cl</t>
  </si>
  <si>
    <t>70g</t>
  </si>
  <si>
    <t>250g</t>
  </si>
  <si>
    <t>280g</t>
  </si>
  <si>
    <t>50G</t>
  </si>
  <si>
    <t>1P</t>
  </si>
  <si>
    <t>350g</t>
  </si>
  <si>
    <t>300g/6p</t>
  </si>
  <si>
    <t>20G</t>
  </si>
  <si>
    <t>50g/1p</t>
  </si>
  <si>
    <t>30ml</t>
  </si>
  <si>
    <t xml:space="preserve">50g </t>
  </si>
  <si>
    <t>100g/2p</t>
  </si>
  <si>
    <t>230g/6p</t>
  </si>
  <si>
    <t>110g/4p</t>
  </si>
  <si>
    <t>350g/1p</t>
  </si>
  <si>
    <t>80g/4p</t>
  </si>
  <si>
    <t>130g/4p</t>
  </si>
  <si>
    <t>400g</t>
  </si>
  <si>
    <t>40g/1p</t>
  </si>
  <si>
    <t>total</t>
  </si>
  <si>
    <t>pistache  concassé</t>
  </si>
  <si>
    <t xml:space="preserve">fiche technique de la cuisine de chef </t>
  </si>
  <si>
    <t>grammage</t>
  </si>
  <si>
    <t>salade fruit fe mer</t>
  </si>
  <si>
    <t>seche</t>
  </si>
  <si>
    <t>poulpe</t>
  </si>
  <si>
    <t>moul</t>
  </si>
  <si>
    <t>tomate cerise</t>
  </si>
  <si>
    <t>avocato</t>
  </si>
  <si>
    <t>persil</t>
  </si>
  <si>
    <t>oignon</t>
  </si>
  <si>
    <t>huil d'olive</t>
  </si>
  <si>
    <t>sel et poivre</t>
  </si>
  <si>
    <t>0,5p</t>
  </si>
  <si>
    <t>10ml</t>
  </si>
  <si>
    <t>150G</t>
  </si>
  <si>
    <t>TOTAL</t>
  </si>
  <si>
    <t>50cl</t>
  </si>
  <si>
    <t>brawni's</t>
  </si>
  <si>
    <t>8P</t>
  </si>
  <si>
    <t>beurre margarine</t>
  </si>
  <si>
    <t>couverture noir</t>
  </si>
  <si>
    <t>farine</t>
  </si>
  <si>
    <t>500g</t>
  </si>
  <si>
    <t>160g</t>
  </si>
  <si>
    <t>cacao</t>
  </si>
  <si>
    <t>sucre poudre</t>
  </si>
  <si>
    <t>240g</t>
  </si>
  <si>
    <t>10P</t>
  </si>
  <si>
    <t>335g</t>
  </si>
  <si>
    <t>lait entier</t>
  </si>
  <si>
    <t>1,25L</t>
  </si>
  <si>
    <t>lait</t>
  </si>
  <si>
    <t>0,5L</t>
  </si>
  <si>
    <t>crème fouetter</t>
  </si>
  <si>
    <t>0,315L</t>
  </si>
  <si>
    <t>nestlé</t>
  </si>
  <si>
    <t>0,216L</t>
  </si>
  <si>
    <t>LAIT</t>
  </si>
  <si>
    <t>0,85L</t>
  </si>
  <si>
    <t>0,54L</t>
  </si>
  <si>
    <t>45G</t>
  </si>
  <si>
    <t>plat salé</t>
  </si>
  <si>
    <t>potatos</t>
  </si>
  <si>
    <t>300g</t>
  </si>
  <si>
    <t>saucisse</t>
  </si>
  <si>
    <t>75g</t>
  </si>
  <si>
    <t>legume</t>
  </si>
  <si>
    <t>harissa</t>
  </si>
  <si>
    <t>tost tunisienne</t>
  </si>
  <si>
    <t>3p</t>
  </si>
  <si>
    <t>pain de compagne</t>
  </si>
  <si>
    <t>salade toste</t>
  </si>
  <si>
    <t>sauce toste</t>
  </si>
  <si>
    <t xml:space="preserve">variante </t>
  </si>
  <si>
    <t>plat sucré</t>
  </si>
  <si>
    <t>mini baguette</t>
  </si>
  <si>
    <t>3P</t>
  </si>
  <si>
    <t>batbout</t>
  </si>
  <si>
    <t>samsa</t>
  </si>
  <si>
    <t>ommlette</t>
  </si>
  <si>
    <t>charcuterie</t>
  </si>
  <si>
    <t>abricot</t>
  </si>
  <si>
    <t>olive vert</t>
  </si>
  <si>
    <t>raisin noir</t>
  </si>
  <si>
    <t>camembert</t>
  </si>
  <si>
    <t>jambon parfumé</t>
  </si>
  <si>
    <t>35g</t>
  </si>
  <si>
    <t>jambon dinde</t>
  </si>
  <si>
    <t>jambon fumé</t>
  </si>
  <si>
    <t>edame</t>
  </si>
  <si>
    <t>110g</t>
  </si>
  <si>
    <t>mozzarella cerise</t>
  </si>
  <si>
    <t>fromage frais</t>
  </si>
  <si>
    <t>orange seché</t>
  </si>
  <si>
    <t>durra</t>
  </si>
  <si>
    <t>sauce fital</t>
  </si>
  <si>
    <t>sauce algérienne</t>
  </si>
  <si>
    <t>sel</t>
  </si>
  <si>
    <t>poivre noir</t>
  </si>
  <si>
    <t>citron</t>
  </si>
  <si>
    <t>thina papillon</t>
  </si>
  <si>
    <t>chevrette dej</t>
  </si>
  <si>
    <t>tomate</t>
  </si>
  <si>
    <t>piment</t>
  </si>
  <si>
    <t>tomate concentré</t>
  </si>
  <si>
    <t>huil végital</t>
  </si>
  <si>
    <t>ojja dej</t>
  </si>
  <si>
    <t>sutlaç</t>
  </si>
  <si>
    <t>trileçe</t>
  </si>
  <si>
    <t>140g</t>
  </si>
  <si>
    <t>pain perdue</t>
  </si>
  <si>
    <t>80g</t>
  </si>
  <si>
    <t>gaufre</t>
  </si>
  <si>
    <t>potoricain</t>
  </si>
  <si>
    <t>fraise</t>
  </si>
  <si>
    <t>kiwi</t>
  </si>
  <si>
    <t>orange frais</t>
  </si>
  <si>
    <t>fandon brawni's</t>
  </si>
  <si>
    <t>morgen noir</t>
  </si>
  <si>
    <t>bable</t>
  </si>
  <si>
    <t>crepe</t>
  </si>
  <si>
    <t>docrème pistache</t>
  </si>
  <si>
    <t>165g</t>
  </si>
  <si>
    <t>pistache concassé</t>
  </si>
  <si>
    <t>amande effelet</t>
  </si>
  <si>
    <t>kunefa</t>
  </si>
  <si>
    <t>caramel beurre salé</t>
  </si>
  <si>
    <t>sucré</t>
  </si>
  <si>
    <t>TRIO PREMIUM</t>
  </si>
  <si>
    <t xml:space="preserve">café </t>
  </si>
  <si>
    <t>jus</t>
  </si>
  <si>
    <t>yaourts glacés</t>
  </si>
  <si>
    <t>eau 1L</t>
  </si>
  <si>
    <t>dosage</t>
  </si>
  <si>
    <t>BAR</t>
  </si>
  <si>
    <t>morgen</t>
  </si>
  <si>
    <t>eau 0,4L</t>
  </si>
  <si>
    <t>le plaisir</t>
  </si>
  <si>
    <t>gleya</t>
  </si>
  <si>
    <t>harissa arbi</t>
  </si>
  <si>
    <t>mlawi</t>
  </si>
  <si>
    <t>pain</t>
  </si>
  <si>
    <t>rechta</t>
  </si>
  <si>
    <t>salé</t>
  </si>
  <si>
    <t>0,4p</t>
  </si>
  <si>
    <t>gouta</t>
  </si>
  <si>
    <t>bsissa</t>
  </si>
  <si>
    <t>ELBALDI BEY</t>
  </si>
  <si>
    <t>CHAIRIA</t>
  </si>
  <si>
    <t>datte</t>
  </si>
  <si>
    <t>sucre</t>
  </si>
  <si>
    <t>amande concassé</t>
  </si>
  <si>
    <t>1kg</t>
  </si>
  <si>
    <t>toast tunisienne</t>
  </si>
  <si>
    <t>crème liquide</t>
  </si>
  <si>
    <t>ouef</t>
  </si>
  <si>
    <t>beurre</t>
  </si>
  <si>
    <t>escalope</t>
  </si>
  <si>
    <t>170g</t>
  </si>
  <si>
    <t>salade</t>
  </si>
  <si>
    <t>toast</t>
  </si>
  <si>
    <t>L'energie</t>
  </si>
  <si>
    <t>eau 0,4</t>
  </si>
  <si>
    <t>Sandwich turc</t>
  </si>
  <si>
    <t>pain turc</t>
  </si>
  <si>
    <t>sauce algerienne</t>
  </si>
  <si>
    <t>legume sauté</t>
  </si>
  <si>
    <t>pain batbout</t>
  </si>
  <si>
    <t>mais</t>
  </si>
  <si>
    <t>mini burger</t>
  </si>
  <si>
    <t>pain burger</t>
  </si>
  <si>
    <t>boulette escalope</t>
  </si>
  <si>
    <t>croissant salé</t>
  </si>
  <si>
    <t>croissant nature</t>
  </si>
  <si>
    <t>sauce toast</t>
  </si>
  <si>
    <t>jambon</t>
  </si>
  <si>
    <t>25g</t>
  </si>
  <si>
    <t>variante</t>
  </si>
  <si>
    <t>croissant dubai</t>
  </si>
  <si>
    <t>docreme pistache</t>
  </si>
  <si>
    <t>nutella</t>
  </si>
  <si>
    <t>5G</t>
  </si>
  <si>
    <t>3G</t>
  </si>
  <si>
    <t>10G</t>
  </si>
  <si>
    <t>100G</t>
  </si>
  <si>
    <t>YAOURT NATURE</t>
  </si>
  <si>
    <t>sirop trileçi</t>
  </si>
  <si>
    <t>OJJA MERGUEZ</t>
  </si>
  <si>
    <t>pain cake</t>
  </si>
  <si>
    <t>20p</t>
  </si>
  <si>
    <t>sucre glace</t>
  </si>
  <si>
    <t>2L</t>
  </si>
  <si>
    <t>2kg</t>
  </si>
  <si>
    <t>sucre vanille</t>
  </si>
  <si>
    <t>2 s</t>
  </si>
  <si>
    <t>levure chimique</t>
  </si>
  <si>
    <t>20s</t>
  </si>
  <si>
    <t>gauffre</t>
  </si>
  <si>
    <t>pate crepe</t>
  </si>
  <si>
    <t>12p</t>
  </si>
  <si>
    <t>1,3KG</t>
  </si>
  <si>
    <t>banane</t>
  </si>
  <si>
    <t>dosage pain cake :300g</t>
  </si>
  <si>
    <t>dosage gauffre :220g</t>
  </si>
  <si>
    <t>dosage crepe :180g</t>
  </si>
  <si>
    <t>crèpe nutella</t>
  </si>
  <si>
    <t>crèpe nutella banane</t>
  </si>
  <si>
    <t>fruit dec</t>
  </si>
  <si>
    <t>crèpe dubai</t>
  </si>
  <si>
    <t>docrme pistache</t>
  </si>
  <si>
    <t>chouch ward</t>
  </si>
  <si>
    <t>3g</t>
  </si>
  <si>
    <t>crèpe nutella Fruit sec</t>
  </si>
  <si>
    <t>sanduich turc</t>
  </si>
  <si>
    <t xml:space="preserve">grammage </t>
  </si>
  <si>
    <t>choufene</t>
  </si>
  <si>
    <t>amande grillé</t>
  </si>
  <si>
    <t>acajou</t>
  </si>
  <si>
    <t>noisette</t>
  </si>
  <si>
    <t>kloub kra3</t>
  </si>
  <si>
    <t>kloub kahla</t>
  </si>
  <si>
    <t>keten</t>
  </si>
  <si>
    <t>chia</t>
  </si>
  <si>
    <t>1kg choufen donne 2,2k granola</t>
  </si>
  <si>
    <t>granola</t>
  </si>
  <si>
    <t>cout d'un kg grannola</t>
  </si>
  <si>
    <t>23dt</t>
  </si>
  <si>
    <t>yaourt glace</t>
  </si>
  <si>
    <t>yaourt+lait</t>
  </si>
  <si>
    <t>125g</t>
  </si>
  <si>
    <t>pistache concasse</t>
  </si>
  <si>
    <t>amande concasse</t>
  </si>
  <si>
    <t>noisette concasse</t>
  </si>
  <si>
    <t xml:space="preserve">pate </t>
  </si>
  <si>
    <t>nutela</t>
  </si>
  <si>
    <t>fruit sec</t>
  </si>
  <si>
    <t>caramele triliçi</t>
  </si>
  <si>
    <t>creme cheese</t>
  </si>
  <si>
    <t>creme fouetter</t>
  </si>
  <si>
    <t>fraidoux</t>
  </si>
  <si>
    <t>yaourt grico's</t>
  </si>
  <si>
    <t>mascarpoone</t>
  </si>
  <si>
    <t>creme fraiche</t>
  </si>
  <si>
    <t>pain cake plaisire rouge</t>
  </si>
  <si>
    <t>pure fruit rouge</t>
  </si>
  <si>
    <t>mertylle</t>
  </si>
  <si>
    <t>framboise</t>
  </si>
  <si>
    <t>pate</t>
  </si>
  <si>
    <t>pancake fruit sec</t>
  </si>
  <si>
    <t>pancake nutella</t>
  </si>
  <si>
    <t>pancake bananne caramelle</t>
  </si>
  <si>
    <t>caramel beur sale</t>
  </si>
  <si>
    <t>bananne</t>
  </si>
  <si>
    <t>amande effile</t>
  </si>
  <si>
    <t>panceke kinder dream</t>
  </si>
  <si>
    <t xml:space="preserve">morgene noisette </t>
  </si>
  <si>
    <t>kinder</t>
  </si>
  <si>
    <t>jardin pistache</t>
  </si>
  <si>
    <t>docrem pistache</t>
  </si>
  <si>
    <t>pain perdu</t>
  </si>
  <si>
    <t>velour vert</t>
  </si>
  <si>
    <t xml:space="preserve">pain perdu </t>
  </si>
  <si>
    <t>kunafa</t>
  </si>
  <si>
    <t>chouche wared</t>
  </si>
  <si>
    <t>glace</t>
  </si>
  <si>
    <t>1b</t>
  </si>
  <si>
    <t>douceur doree</t>
  </si>
  <si>
    <t>chocolat d'amour</t>
  </si>
  <si>
    <t>douceur de paris</t>
  </si>
  <si>
    <t>crepe crunchy noisette</t>
  </si>
  <si>
    <t>crunchy noisette</t>
  </si>
  <si>
    <t>morgene noisette</t>
  </si>
  <si>
    <t>chouch wared</t>
  </si>
  <si>
    <t>box melt me up</t>
  </si>
  <si>
    <t>buble</t>
  </si>
  <si>
    <t>130g</t>
  </si>
  <si>
    <t>morgene noir</t>
  </si>
  <si>
    <t>90g</t>
  </si>
  <si>
    <t>fruit sec concasse</t>
  </si>
  <si>
    <t>brawn's</t>
  </si>
  <si>
    <t>box melt me up (4pers)</t>
  </si>
  <si>
    <t>morgene noitr</t>
  </si>
  <si>
    <t>mini croissant</t>
  </si>
  <si>
    <t>crep roll</t>
  </si>
  <si>
    <t>crepe roll</t>
  </si>
  <si>
    <t>beur</t>
  </si>
  <si>
    <t>pizza 4 fromage</t>
  </si>
  <si>
    <t>creme liquide</t>
  </si>
  <si>
    <t>mozzarella</t>
  </si>
  <si>
    <t>fromage bleu</t>
  </si>
  <si>
    <t>parmison</t>
  </si>
  <si>
    <t>basilique</t>
  </si>
  <si>
    <t>fromage gruyere</t>
  </si>
  <si>
    <t>pizza poulet crunchy</t>
  </si>
  <si>
    <t>escalopr poulet</t>
  </si>
  <si>
    <t>pizza fruit de mer</t>
  </si>
  <si>
    <t>sauce tomate</t>
  </si>
  <si>
    <t>pizza saumon</t>
  </si>
  <si>
    <t>saumon fume</t>
  </si>
  <si>
    <t xml:space="preserve">basilique </t>
  </si>
  <si>
    <t>pizza margharitta</t>
  </si>
  <si>
    <t>pizza neptune</t>
  </si>
  <si>
    <t>pizza peppironi</t>
  </si>
  <si>
    <t>peppirone</t>
  </si>
  <si>
    <t>pizza vigetarienne</t>
  </si>
  <si>
    <t>aubergine</t>
  </si>
  <si>
    <t>courgette</t>
  </si>
  <si>
    <t>champignon frais</t>
  </si>
  <si>
    <t xml:space="preserve">tomate cerise </t>
  </si>
  <si>
    <t>pizza reggina</t>
  </si>
  <si>
    <t>jambon fume</t>
  </si>
  <si>
    <t>mozza cerise</t>
  </si>
  <si>
    <t>pizza 4 saison</t>
  </si>
  <si>
    <t>olive vert slice</t>
  </si>
  <si>
    <t>pizza primavéra</t>
  </si>
  <si>
    <t>sauce bitrave</t>
  </si>
  <si>
    <t>oignon caramelisée</t>
  </si>
  <si>
    <t>vionde hachée</t>
  </si>
  <si>
    <t>patte</t>
  </si>
  <si>
    <t>poulte</t>
  </si>
  <si>
    <t>sauce a l'ail</t>
  </si>
  <si>
    <t>letu</t>
  </si>
  <si>
    <t>gruyére</t>
  </si>
  <si>
    <t>panuozzo grille chiken</t>
  </si>
  <si>
    <t>panuozzo jambon fume</t>
  </si>
  <si>
    <t>panuozzo mexicain</t>
  </si>
  <si>
    <t>viande hache</t>
  </si>
  <si>
    <t>poulet escalop</t>
  </si>
  <si>
    <t>panuozzo poulet a la  créme</t>
  </si>
  <si>
    <t>persile</t>
  </si>
  <si>
    <t>ail</t>
  </si>
  <si>
    <t xml:space="preserve">salade toast </t>
  </si>
  <si>
    <t xml:space="preserve"> sauce toast </t>
  </si>
  <si>
    <t>goutella</t>
  </si>
  <si>
    <t>1k</t>
  </si>
  <si>
    <t>toaste tunisienne</t>
  </si>
  <si>
    <t>700g</t>
  </si>
  <si>
    <t>patte pizza</t>
  </si>
  <si>
    <t>farine pizza</t>
  </si>
  <si>
    <t>leveur chimique</t>
  </si>
  <si>
    <t>1s</t>
  </si>
  <si>
    <t>sauce bitrav</t>
  </si>
  <si>
    <t>bitrav</t>
  </si>
  <si>
    <t>tomate consontre</t>
  </si>
  <si>
    <t>piment de cayenne</t>
  </si>
  <si>
    <t>paprica</t>
  </si>
  <si>
    <t>mayonaise</t>
  </si>
  <si>
    <t>2g</t>
  </si>
  <si>
    <t>poivre</t>
  </si>
  <si>
    <t>sauce pizza</t>
  </si>
  <si>
    <t>triliçi</t>
  </si>
  <si>
    <t>1l</t>
  </si>
  <si>
    <t>2l</t>
  </si>
  <si>
    <t xml:space="preserve">risotto </t>
  </si>
  <si>
    <t>amidon</t>
  </si>
  <si>
    <t>45g</t>
  </si>
  <si>
    <t>beurre pur</t>
  </si>
  <si>
    <t>croissant natur</t>
  </si>
  <si>
    <t>pain chocolat</t>
  </si>
  <si>
    <t>cacke</t>
  </si>
  <si>
    <t>sauce dourra</t>
  </si>
  <si>
    <t>dourra thinna</t>
  </si>
  <si>
    <t>2,5p</t>
  </si>
  <si>
    <t>300l</t>
  </si>
  <si>
    <t>thomson</t>
  </si>
  <si>
    <t>msamen</t>
  </si>
  <si>
    <t>le bonjoure du bey</t>
  </si>
  <si>
    <t>caffe</t>
  </si>
  <si>
    <t>jus frais</t>
  </si>
  <si>
    <t>bouteille eau 0,4l</t>
  </si>
  <si>
    <t>viennoiserier</t>
  </si>
  <si>
    <t>8p</t>
  </si>
  <si>
    <t>fiche technique chicha</t>
  </si>
  <si>
    <t>caloud</t>
  </si>
  <si>
    <t>casar</t>
  </si>
  <si>
    <t>torki</t>
  </si>
  <si>
    <t>22g</t>
  </si>
  <si>
    <t>m3asse menthe</t>
  </si>
  <si>
    <t>m3asse raisin</t>
  </si>
  <si>
    <t>m3asse pasteque</t>
  </si>
  <si>
    <t>m3asse melon</t>
  </si>
  <si>
    <t>m3asse citron</t>
  </si>
  <si>
    <t>m3asse love</t>
  </si>
  <si>
    <t>m3asse enjoy</t>
  </si>
  <si>
    <t>m3asse chwingom</t>
  </si>
  <si>
    <t>m3asse miamor</t>
  </si>
  <si>
    <t>m3asse pomme</t>
  </si>
  <si>
    <t>m3asse chikh mani</t>
  </si>
  <si>
    <t xml:space="preserve">m3asse resain menthe </t>
  </si>
  <si>
    <t>divers chicha</t>
  </si>
  <si>
    <t>charbon</t>
  </si>
  <si>
    <t>mabsem</t>
  </si>
  <si>
    <t xml:space="preserve">jabbed </t>
  </si>
  <si>
    <t>sauce fita</t>
  </si>
  <si>
    <t>chocomissu</t>
  </si>
  <si>
    <t>mascarponi</t>
  </si>
  <si>
    <t>100ml</t>
  </si>
  <si>
    <t>express</t>
  </si>
  <si>
    <t>chees cake froid</t>
  </si>
  <si>
    <t>fraidaux</t>
  </si>
  <si>
    <t>gélatine</t>
  </si>
  <si>
    <t>biscotte</t>
  </si>
  <si>
    <t>lait concentré</t>
  </si>
  <si>
    <t>1,65g</t>
  </si>
  <si>
    <t>810g</t>
  </si>
  <si>
    <t>fiche technique pizza</t>
  </si>
  <si>
    <t>18g</t>
  </si>
  <si>
    <t>600g</t>
  </si>
  <si>
    <t>San sébastien</t>
  </si>
  <si>
    <t>amidan</t>
  </si>
  <si>
    <t>saint caramel</t>
  </si>
  <si>
    <t>saint</t>
  </si>
  <si>
    <t>saint pistache royal</t>
  </si>
  <si>
    <t>1,5kg</t>
  </si>
  <si>
    <t>caramel beurre sale</t>
  </si>
  <si>
    <t>saint nutella</t>
  </si>
  <si>
    <t>m3assel menthe</t>
  </si>
  <si>
    <t>m3assel raisain</t>
  </si>
  <si>
    <t>article</t>
  </si>
  <si>
    <t>assiette sucrée</t>
  </si>
  <si>
    <t>assiette sucrée(plaisire)</t>
  </si>
  <si>
    <t>mini gauffre</t>
  </si>
  <si>
    <t>poffertejes</t>
  </si>
  <si>
    <t xml:space="preserve">fruit de saison </t>
  </si>
  <si>
    <t>sauce chocolat fondu</t>
  </si>
  <si>
    <t xml:space="preserve"> la saveur du bey</t>
  </si>
  <si>
    <t xml:space="preserve">jus frais </t>
  </si>
  <si>
    <t>croissant salée</t>
  </si>
  <si>
    <t>omlett dej saveur</t>
  </si>
  <si>
    <t>leguem</t>
  </si>
  <si>
    <t>raisin sec</t>
  </si>
  <si>
    <t>cammuber</t>
  </si>
  <si>
    <t>crépe poulet gratin</t>
  </si>
  <si>
    <t xml:space="preserve">escalope </t>
  </si>
  <si>
    <t>créme liquide</t>
  </si>
  <si>
    <t>25cl</t>
  </si>
  <si>
    <t>crépe thon fromage</t>
  </si>
  <si>
    <t xml:space="preserve">mozzarela </t>
  </si>
  <si>
    <t>crépe jambon</t>
  </si>
  <si>
    <t>omelette vege</t>
  </si>
  <si>
    <t>4p</t>
  </si>
  <si>
    <t>omelette fromage</t>
  </si>
  <si>
    <t>omelette thon fromage</t>
  </si>
  <si>
    <t xml:space="preserve">omelette jambon  </t>
  </si>
  <si>
    <t>fiche technique bar</t>
  </si>
  <si>
    <t>12g</t>
  </si>
  <si>
    <t>cappucin</t>
  </si>
  <si>
    <t>nestle</t>
  </si>
  <si>
    <t>cappucin nestle</t>
  </si>
  <si>
    <t>cafe creme</t>
  </si>
  <si>
    <t>cafe creme nestle</t>
  </si>
  <si>
    <t>chocolat au lait</t>
  </si>
  <si>
    <t>chocoline</t>
  </si>
  <si>
    <t>cafe liégeois</t>
  </si>
  <si>
    <t>expresse</t>
  </si>
  <si>
    <t>cafe</t>
  </si>
  <si>
    <t>ingri</t>
  </si>
  <si>
    <t>gramma</t>
  </si>
  <si>
    <t xml:space="preserve">docreme pistache </t>
  </si>
  <si>
    <t>americin</t>
  </si>
  <si>
    <t xml:space="preserve">cafe </t>
  </si>
  <si>
    <t>expresso</t>
  </si>
  <si>
    <t>capçul</t>
  </si>
  <si>
    <t>nesspresso américain</t>
  </si>
  <si>
    <t>cafe creme nespresso</t>
  </si>
  <si>
    <t>cappucin nespresso</t>
  </si>
  <si>
    <t>turkish coffee</t>
  </si>
  <si>
    <t>cafe turc</t>
  </si>
  <si>
    <t>samsa chocolat</t>
  </si>
  <si>
    <t>cheese cacke froid</t>
  </si>
  <si>
    <t>82g</t>
  </si>
  <si>
    <t>40,5g</t>
  </si>
  <si>
    <t>11g</t>
  </si>
  <si>
    <t>8g</t>
  </si>
  <si>
    <t>Chocolat chaud</t>
  </si>
  <si>
    <t>chocolat poudre</t>
  </si>
  <si>
    <t>couverture noire</t>
  </si>
  <si>
    <t>320g</t>
  </si>
  <si>
    <t>260g</t>
  </si>
  <si>
    <t>41,66g</t>
  </si>
  <si>
    <t>26,66g</t>
  </si>
  <si>
    <t>21,66g</t>
  </si>
  <si>
    <t>8,33g</t>
  </si>
  <si>
    <t>crepe brawn's</t>
  </si>
  <si>
    <t xml:space="preserve">amande concasse </t>
  </si>
  <si>
    <t>210g</t>
  </si>
  <si>
    <t>amande effilée</t>
  </si>
  <si>
    <t>feuille d'or</t>
  </si>
  <si>
    <t>10p</t>
  </si>
  <si>
    <t>cheese cache froid</t>
  </si>
  <si>
    <t>créme fouetter</t>
  </si>
  <si>
    <t>825g</t>
  </si>
  <si>
    <t>gilk</t>
  </si>
  <si>
    <t>biscuit saida</t>
  </si>
  <si>
    <t>cheese cache froid nutella</t>
  </si>
  <si>
    <t>7g</t>
  </si>
  <si>
    <t>cheese cache froid dubai</t>
  </si>
  <si>
    <t>docréme pistache</t>
  </si>
  <si>
    <t>cheese cache froid feruit rouge</t>
  </si>
  <si>
    <t>fruit rouge</t>
  </si>
  <si>
    <t>cheese cache froid lotus</t>
  </si>
  <si>
    <t>patte lotus</t>
  </si>
  <si>
    <t>cheese cache dubai</t>
  </si>
  <si>
    <t>créme fouette</t>
  </si>
  <si>
    <t>ouf</t>
  </si>
  <si>
    <t>85g</t>
  </si>
  <si>
    <t>yaourte greco's</t>
  </si>
  <si>
    <t>couverture lait</t>
  </si>
  <si>
    <t>pistache</t>
  </si>
  <si>
    <t>cheese cache lotus</t>
  </si>
  <si>
    <t>fraideaux</t>
  </si>
  <si>
    <t>pate lotus</t>
  </si>
  <si>
    <t>pate spéculoos</t>
  </si>
  <si>
    <t>bescuit crunchy</t>
  </si>
  <si>
    <t>yaourt vitalait</t>
  </si>
  <si>
    <t>62,5g</t>
  </si>
  <si>
    <t>44g</t>
  </si>
  <si>
    <t>10,6g</t>
  </si>
  <si>
    <t>12,5g</t>
  </si>
  <si>
    <t>fondant chocolat</t>
  </si>
  <si>
    <t>chocolat a la créme chantilly</t>
  </si>
  <si>
    <t>chantilly</t>
  </si>
  <si>
    <t>chocolat chaud noisrte</t>
  </si>
  <si>
    <t>sirop noisete</t>
  </si>
  <si>
    <t xml:space="preserve">chocolat chaud caramel </t>
  </si>
  <si>
    <t>sirop caramel</t>
  </si>
  <si>
    <t>chocolat chaud spéculoos</t>
  </si>
  <si>
    <t>sirop spéculoos</t>
  </si>
  <si>
    <t>café caramel</t>
  </si>
  <si>
    <t>café</t>
  </si>
  <si>
    <t xml:space="preserve">café noisete </t>
  </si>
  <si>
    <t>café vanille</t>
  </si>
  <si>
    <t>sirop vanille</t>
  </si>
  <si>
    <t>190g</t>
  </si>
  <si>
    <t>café tiramisu</t>
  </si>
  <si>
    <t>café cookies</t>
  </si>
  <si>
    <t>café spéculoos</t>
  </si>
  <si>
    <t>café nutella</t>
  </si>
  <si>
    <t>sirop tiramisu</t>
  </si>
  <si>
    <t>sirop cookies</t>
  </si>
  <si>
    <t>café aromatisé</t>
  </si>
  <si>
    <t>chocolat &amp; douceurs</t>
  </si>
  <si>
    <t>nespresso</t>
  </si>
  <si>
    <t>pause fraicheur</t>
  </si>
  <si>
    <t>eau minérale 0,4l</t>
  </si>
  <si>
    <t>désignation</t>
  </si>
  <si>
    <t>quantité</t>
  </si>
  <si>
    <t>eau minérale 1l</t>
  </si>
  <si>
    <t>eau gazéifiée 1l</t>
  </si>
  <si>
    <t>5p</t>
  </si>
  <si>
    <t>amande frais</t>
  </si>
  <si>
    <t>tri</t>
  </si>
  <si>
    <t>cammumber</t>
  </si>
  <si>
    <t>coca cola</t>
  </si>
  <si>
    <t>coca zéro</t>
  </si>
  <si>
    <t>fanta</t>
  </si>
  <si>
    <t>boga</t>
  </si>
  <si>
    <t>boga cider</t>
  </si>
  <si>
    <t>apla</t>
  </si>
  <si>
    <t>orangina</t>
  </si>
  <si>
    <t>schwippes</t>
  </si>
  <si>
    <t>sprite</t>
  </si>
  <si>
    <t>soda</t>
  </si>
  <si>
    <t>citronade</t>
  </si>
  <si>
    <t>menthe</t>
  </si>
  <si>
    <t>lemon menthe</t>
  </si>
  <si>
    <t>citronade au amande</t>
  </si>
  <si>
    <t>limonana</t>
  </si>
  <si>
    <t>shark ou red bull</t>
  </si>
  <si>
    <t>mangue</t>
  </si>
  <si>
    <t>fruit &amp; fraicheur</t>
  </si>
  <si>
    <t>coctaile et slushy</t>
  </si>
  <si>
    <t>EVASION</t>
  </si>
  <si>
    <t>EVASIS</t>
  </si>
  <si>
    <t>BANANE</t>
  </si>
  <si>
    <t>PASSION</t>
  </si>
  <si>
    <t>MANGUE</t>
  </si>
  <si>
    <t>ECLAT</t>
  </si>
  <si>
    <t>Affogato</t>
  </si>
  <si>
    <t>glace  vanille</t>
  </si>
  <si>
    <t>pistach con cassè</t>
  </si>
  <si>
    <t>glace pistache</t>
  </si>
  <si>
    <t>proteine  shake</t>
  </si>
  <si>
    <t>VANILLE</t>
  </si>
  <si>
    <t>ENERGIE</t>
  </si>
  <si>
    <t>power spanish</t>
  </si>
  <si>
    <t>yaourt glacé</t>
  </si>
  <si>
    <t>STARTER</t>
  </si>
  <si>
    <t>smoothies</t>
  </si>
  <si>
    <t>BLEU HAWAI</t>
  </si>
  <si>
    <t>sirop bleu</t>
  </si>
  <si>
    <t>STRAWBERRY</t>
  </si>
  <si>
    <t>BANANE KIWI</t>
  </si>
  <si>
    <t xml:space="preserve">banane </t>
  </si>
  <si>
    <t>PINA COLADA</t>
  </si>
  <si>
    <t>FRUIT DE BOIS</t>
  </si>
  <si>
    <t>TROPICAL</t>
  </si>
  <si>
    <t>jus d'orange</t>
  </si>
  <si>
    <t>MOJITOS</t>
  </si>
  <si>
    <t>VIRGIN</t>
  </si>
  <si>
    <t>menthe fraiche</t>
  </si>
  <si>
    <t>citron frais</t>
  </si>
  <si>
    <t>sirop mojito</t>
  </si>
  <si>
    <t>boga limon</t>
  </si>
  <si>
    <t>APPLE</t>
  </si>
  <si>
    <t>sirop de pomme</t>
  </si>
  <si>
    <t>DEEP BLEU</t>
  </si>
  <si>
    <t>PASSION FRUIT</t>
  </si>
  <si>
    <t>passion de la fruit</t>
  </si>
  <si>
    <t>ananas noix de coco</t>
  </si>
  <si>
    <t>ENERGITIQUE</t>
  </si>
  <si>
    <t>boisson energitique</t>
  </si>
  <si>
    <t>energy drink</t>
  </si>
  <si>
    <t>glace vanille 2b</t>
  </si>
  <si>
    <t>créme chantilly</t>
  </si>
  <si>
    <t>fruit de mer pizza</t>
  </si>
  <si>
    <t>100cl</t>
  </si>
  <si>
    <t>1po(1po= 3p)</t>
  </si>
  <si>
    <t>ananas tranche</t>
  </si>
  <si>
    <t>15cl</t>
  </si>
  <si>
    <t>fruit sec jwejem</t>
  </si>
  <si>
    <t>sirop fruit de bois</t>
  </si>
  <si>
    <t>noix de coco puré</t>
  </si>
  <si>
    <t>crém fouette</t>
  </si>
  <si>
    <t>base smoothie (yaourt)</t>
  </si>
  <si>
    <t>fraise puré</t>
  </si>
  <si>
    <t>anannas puré</t>
  </si>
  <si>
    <t xml:space="preserve">jus mangue </t>
  </si>
  <si>
    <t>puré mangue</t>
  </si>
  <si>
    <t>framboise congelée</t>
  </si>
  <si>
    <t>mertyle congelée</t>
  </si>
  <si>
    <t>fraise jus</t>
  </si>
  <si>
    <t>KIWI jus</t>
  </si>
  <si>
    <t xml:space="preserve">ORANGE jus </t>
  </si>
  <si>
    <t xml:space="preserve">banane jus </t>
  </si>
  <si>
    <t>kiwi jus</t>
  </si>
  <si>
    <t>MANGUE congelet</t>
  </si>
  <si>
    <t>fruit sec jwajem</t>
  </si>
  <si>
    <t>amande grille</t>
  </si>
  <si>
    <t>3l</t>
  </si>
  <si>
    <t xml:space="preserve">kiwi jus </t>
  </si>
  <si>
    <t xml:space="preserve">ananas </t>
  </si>
  <si>
    <t>MILKSHAKE CRUNCHY</t>
  </si>
  <si>
    <t xml:space="preserve">glace </t>
  </si>
  <si>
    <t>SNICKERS</t>
  </si>
  <si>
    <t>OREO</t>
  </si>
  <si>
    <t>oreo</t>
  </si>
  <si>
    <t>SPECULOOS</t>
  </si>
  <si>
    <t>NUTELLA</t>
  </si>
  <si>
    <t>Nutelle</t>
  </si>
  <si>
    <t>FERRERO ROCHE</t>
  </si>
  <si>
    <t>SIGNATURE BUSINESS BEY</t>
  </si>
  <si>
    <t>BLEU PASSION ENERGITIQUE</t>
  </si>
  <si>
    <t>shark</t>
  </si>
  <si>
    <t>COCKTAIL ENERGETIQUE</t>
  </si>
  <si>
    <t>BLACK ENERGETIQUE</t>
  </si>
  <si>
    <t xml:space="preserve">citron </t>
  </si>
  <si>
    <t>ORANGEY</t>
  </si>
  <si>
    <t>COCKTAIL DRINK</t>
  </si>
  <si>
    <t>BLEU SEA</t>
  </si>
  <si>
    <t xml:space="preserve">bleu sirop </t>
  </si>
  <si>
    <t>BRICO</t>
  </si>
  <si>
    <t>MIEL</t>
  </si>
  <si>
    <t xml:space="preserve">DARK RED </t>
  </si>
  <si>
    <t>PATE PISTACHE</t>
  </si>
  <si>
    <t>CHANTILLY</t>
  </si>
  <si>
    <t>PISTACHE CONCASSE</t>
  </si>
  <si>
    <t xml:space="preserve">grenadine </t>
  </si>
  <si>
    <t xml:space="preserve">fraise </t>
  </si>
  <si>
    <t>YAOURT GLACé</t>
  </si>
  <si>
    <t xml:space="preserve">nutella </t>
  </si>
  <si>
    <t xml:space="preserve">FRUIT DE SAISON </t>
  </si>
  <si>
    <t xml:space="preserve">FRUIT DE BOIS </t>
  </si>
  <si>
    <t>dokrem pistache</t>
  </si>
  <si>
    <t>JWRJEM</t>
  </si>
  <si>
    <t>JWEJEM CLASSIQUE</t>
  </si>
  <si>
    <t xml:space="preserve">yaourt glace </t>
  </si>
  <si>
    <t xml:space="preserve">biscuit crunchy </t>
  </si>
  <si>
    <t>fruit de saison</t>
  </si>
  <si>
    <t>JWEJEM BEY</t>
  </si>
  <si>
    <t>3 chocolat</t>
  </si>
  <si>
    <t>chantillly</t>
  </si>
  <si>
    <t>Fraise puré</t>
  </si>
  <si>
    <t>snickbar</t>
  </si>
  <si>
    <t>creme fouetté</t>
  </si>
  <si>
    <t>Spéculoose patte</t>
  </si>
  <si>
    <t>ferrero roché patte</t>
  </si>
  <si>
    <t xml:space="preserve">ferro roche </t>
  </si>
  <si>
    <t>myrtille sirop</t>
  </si>
  <si>
    <t xml:space="preserve"> grenadine </t>
  </si>
  <si>
    <t>orange jus</t>
  </si>
  <si>
    <t xml:space="preserve">ananas jus </t>
  </si>
  <si>
    <t>peche puré</t>
  </si>
  <si>
    <t>lychee puré</t>
  </si>
  <si>
    <t>fruits de passion puré</t>
  </si>
  <si>
    <t>ananas jus</t>
  </si>
  <si>
    <t>PASTEQUE sirop</t>
  </si>
  <si>
    <t>KIWI puré</t>
  </si>
  <si>
    <t>boga lime</t>
  </si>
  <si>
    <t>bleu berry sirop</t>
  </si>
  <si>
    <t>melon sirop</t>
  </si>
  <si>
    <t>pomme</t>
  </si>
  <si>
    <t>330g</t>
  </si>
  <si>
    <t>kinder chocolat</t>
  </si>
  <si>
    <t xml:space="preserve">fruit de bois sirop </t>
  </si>
  <si>
    <t>thé</t>
  </si>
  <si>
    <t>THé</t>
  </si>
  <si>
    <t>menthe séche</t>
  </si>
  <si>
    <t>Thé INFUSION</t>
  </si>
  <si>
    <t>2s</t>
  </si>
  <si>
    <t>Thé AUX AMANDES</t>
  </si>
  <si>
    <t>AMANDE FRAIS</t>
  </si>
  <si>
    <t>80G</t>
  </si>
  <si>
    <t>Thé AUX PIGNONS</t>
  </si>
  <si>
    <t>180G</t>
  </si>
  <si>
    <t>70G</t>
  </si>
  <si>
    <t>60G</t>
  </si>
  <si>
    <t xml:space="preserve"> framboise congeler</t>
  </si>
  <si>
    <t>myrtille  congeler</t>
  </si>
  <si>
    <t>JWAJEM</t>
  </si>
  <si>
    <t>crém chantilly</t>
  </si>
  <si>
    <t>fruit de saison puré</t>
  </si>
  <si>
    <t>passion fruit puré</t>
  </si>
  <si>
    <t xml:space="preserve"> ICE COFFEE</t>
  </si>
  <si>
    <t>ICE COFFEE</t>
  </si>
  <si>
    <t>ice</t>
  </si>
  <si>
    <t>ICE SPANISH LATTE</t>
  </si>
  <si>
    <t>ICE SALTED CARAMEL</t>
  </si>
  <si>
    <t>SIROP CARAMEL</t>
  </si>
  <si>
    <t>ICE HAZELNUT LATTE</t>
  </si>
  <si>
    <t>SIROP NOISETTE</t>
  </si>
  <si>
    <t>ICE TIRAMISSU</t>
  </si>
  <si>
    <t>sirop tiramissu</t>
  </si>
  <si>
    <t>ICE nutella</t>
  </si>
  <si>
    <t>corbay pain</t>
  </si>
  <si>
    <t>1/4p</t>
  </si>
  <si>
    <t>sucré                 sucré</t>
  </si>
  <si>
    <t>fiche tchnique de la patisserie</t>
  </si>
  <si>
    <t>fiche technique de petit dej</t>
  </si>
  <si>
    <t>EDAM</t>
  </si>
  <si>
    <t>ommelette jambon</t>
  </si>
  <si>
    <t>PECHE</t>
  </si>
  <si>
    <t>RASINE</t>
  </si>
  <si>
    <t>5P</t>
  </si>
  <si>
    <t>BROWNIES</t>
  </si>
  <si>
    <t>BOL crepe TAGLIATELLE</t>
  </si>
  <si>
    <t>mangue jus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</si>
</sst>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1" x14ac:knownFonts="1">
    <font>
      <sz val="11"/>
      <color theme="1"/>
      <name val="Calibri"/>
      <family val="2"/>
      <scheme val="minor"/>
    </font>
    <font>
      <b/>
      <sz val="10"/>
      <color theme="1"/>
      <name val="Calibri"/>
      <family val="2"/>
      <scheme val="minor"/>
    </font>
    <font>
      <b/>
      <sz val="9"/>
      <color theme="1"/>
      <name val="Calibri"/>
      <family val="2"/>
      <scheme val="minor"/>
    </font>
    <font>
      <b/>
      <sz val="8"/>
      <color theme="1"/>
      <name val="Calibri"/>
      <family val="2"/>
      <scheme val="minor"/>
    </font>
    <font>
      <b/>
      <sz val="16"/>
      <color theme="1"/>
      <name val="Calibri"/>
      <family val="2"/>
      <scheme val="minor"/>
    </font>
    <font>
      <b/>
      <sz val="20"/>
      <color theme="1"/>
      <name val="Calibri"/>
      <family val="2"/>
      <scheme val="minor"/>
    </font>
    <font>
      <b/>
      <i/>
      <sz val="11"/>
      <color theme="1"/>
      <name val="Calibri"/>
      <family val="2"/>
      <scheme val="minor"/>
    </font>
    <font>
      <b/>
      <sz val="11"/>
      <color theme="1"/>
      <name val="Calibri"/>
      <family val="2"/>
      <scheme val="minor"/>
    </font>
    <font>
      <sz val="12"/>
      <color theme="1"/>
      <name val="Calibri"/>
      <family val="2"/>
      <scheme val="minor"/>
    </font>
    <font>
      <sz val="8"/>
      <color theme="1"/>
      <name val="Calibri"/>
      <family val="2"/>
      <scheme val="minor"/>
    </font>
    <font>
      <b/>
      <sz val="14"/>
      <color theme="1"/>
      <name val="Calibri"/>
      <family val="2"/>
      <scheme val="minor"/>
    </font>
    <font>
      <b/>
      <sz val="12"/>
      <color theme="1"/>
      <name val="Calibri"/>
      <family val="2"/>
      <scheme val="minor"/>
    </font>
    <font>
      <sz val="24"/>
      <color theme="1"/>
      <name val="Calibri"/>
      <family val="2"/>
      <scheme val="minor"/>
    </font>
    <font>
      <sz val="26"/>
      <color theme="1"/>
      <name val="Calibri"/>
      <family val="2"/>
      <scheme val="minor"/>
    </font>
    <font>
      <sz val="48"/>
      <color theme="1"/>
      <name val="Calibri"/>
      <family val="2"/>
      <scheme val="minor"/>
    </font>
    <font>
      <b/>
      <sz val="36"/>
      <color theme="1"/>
      <name val="Calibri"/>
      <family val="2"/>
      <scheme val="minor"/>
    </font>
    <font>
      <sz val="72"/>
      <color theme="1"/>
      <name val="Calibri"/>
      <family val="2"/>
      <scheme val="minor"/>
    </font>
    <font>
      <sz val="14"/>
      <color theme="1"/>
      <name val="Calibri"/>
      <family val="2"/>
      <scheme val="minor"/>
    </font>
    <font>
      <sz val="28"/>
      <color theme="1"/>
      <name val="Calibri"/>
      <family val="2"/>
      <scheme val="minor"/>
    </font>
    <font>
      <sz val="22"/>
      <color theme="1"/>
      <name val="Calibri"/>
      <family val="2"/>
      <scheme val="minor"/>
    </font>
    <font>
      <b/>
      <u/>
      <sz val="16"/>
      <color theme="1"/>
      <name val="Calibri"/>
      <family val="2"/>
      <scheme val="minor"/>
    </font>
  </fonts>
  <fills count="11">
    <fill>
      <patternFill patternType="none"/>
    </fill>
    <fill>
      <patternFill patternType="gray125"/>
    </fill>
    <fill>
      <patternFill patternType="solid">
        <fgColor theme="5" tint="0.79998168889431442"/>
        <bgColor indexed="64"/>
      </patternFill>
    </fill>
    <fill>
      <patternFill patternType="solid">
        <fgColor theme="5"/>
        <bgColor indexed="64"/>
      </patternFill>
    </fill>
    <fill>
      <patternFill patternType="solid">
        <fgColor theme="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rgb="FFFF0000"/>
        <bgColor indexed="64"/>
      </patternFill>
    </fill>
    <fill>
      <patternFill patternType="solid">
        <fgColor rgb="FFFFFF0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150">
    <xf numFmtId="0" fontId="0" fillId="0" borderId="0" xfId="0"/>
    <xf numFmtId="0" fontId="0" fillId="0" borderId="1" xfId="0" applyBorder="1"/>
    <xf numFmtId="12" fontId="0" fillId="0" borderId="1" xfId="0" applyNumberFormat="1" applyBorder="1" applyAlignment="1">
      <alignment horizontal="left"/>
    </xf>
    <xf numFmtId="0" fontId="0" fillId="0" borderId="1" xfId="0" applyBorder="1" applyAlignment="1">
      <alignment horizontal="left"/>
    </xf>
    <xf numFmtId="0" fontId="0" fillId="0" borderId="3" xfId="0" applyBorder="1"/>
    <xf numFmtId="0" fontId="0" fillId="0" borderId="2" xfId="0" applyBorder="1" applyAlignment="1">
      <alignment horizontal="left"/>
    </xf>
    <xf numFmtId="0" fontId="0" fillId="0" borderId="2" xfId="0" applyBorder="1"/>
    <xf numFmtId="0" fontId="0" fillId="2" borderId="1" xfId="0" applyFill="1" applyBorder="1"/>
    <xf numFmtId="0" fontId="0" fillId="0" borderId="5" xfId="0" applyBorder="1"/>
    <xf numFmtId="0" fontId="0" fillId="2" borderId="5" xfId="0" applyFill="1" applyBorder="1" applyAlignment="1">
      <alignment horizontal="center"/>
    </xf>
    <xf numFmtId="0" fontId="0" fillId="2" borderId="6" xfId="0" applyFill="1" applyBorder="1" applyAlignment="1">
      <alignment horizontal="center"/>
    </xf>
    <xf numFmtId="0" fontId="0" fillId="2" borderId="7" xfId="0" applyFill="1" applyBorder="1" applyAlignment="1">
      <alignment horizontal="center"/>
    </xf>
    <xf numFmtId="0" fontId="0" fillId="2" borderId="1" xfId="0" applyFill="1" applyBorder="1" applyAlignment="1">
      <alignment horizontal="center"/>
    </xf>
    <xf numFmtId="0" fontId="0" fillId="4" borderId="0" xfId="0" applyFill="1"/>
    <xf numFmtId="12" fontId="0" fillId="4" borderId="0" xfId="0" applyNumberFormat="1" applyFill="1" applyAlignment="1">
      <alignment horizontal="left"/>
    </xf>
    <xf numFmtId="0" fontId="1" fillId="4" borderId="0" xfId="0" applyFont="1" applyFill="1" applyAlignment="1">
      <alignment vertical="center" textRotation="44"/>
    </xf>
    <xf numFmtId="0" fontId="0" fillId="4" borderId="0" xfId="0" applyFill="1" applyAlignment="1">
      <alignment horizontal="left"/>
    </xf>
    <xf numFmtId="0" fontId="0" fillId="4" borderId="1" xfId="0" applyFill="1" applyBorder="1"/>
    <xf numFmtId="0" fontId="4" fillId="0" borderId="1" xfId="0" applyFont="1" applyBorder="1" applyAlignment="1">
      <alignment vertical="center" textRotation="60"/>
    </xf>
    <xf numFmtId="0" fontId="0" fillId="2" borderId="2" xfId="0" applyFill="1" applyBorder="1"/>
    <xf numFmtId="18" fontId="0" fillId="0" borderId="1" xfId="0" applyNumberFormat="1" applyBorder="1"/>
    <xf numFmtId="164" fontId="0" fillId="0" borderId="1" xfId="0" applyNumberFormat="1" applyBorder="1"/>
    <xf numFmtId="0" fontId="0" fillId="0" borderId="1" xfId="0" applyBorder="1" applyAlignment="1">
      <alignment horizontal="left" vertical="center"/>
    </xf>
    <xf numFmtId="0" fontId="0" fillId="0" borderId="0" xfId="0" applyAlignment="1">
      <alignment horizontal="left" vertical="center"/>
    </xf>
    <xf numFmtId="0" fontId="0" fillId="4" borderId="1" xfId="0" applyFill="1" applyBorder="1" applyAlignment="1">
      <alignment horizontal="center"/>
    </xf>
    <xf numFmtId="0" fontId="0" fillId="5" borderId="0" xfId="0" applyFill="1"/>
    <xf numFmtId="0" fontId="7" fillId="0" borderId="1" xfId="0" applyFont="1" applyBorder="1" applyAlignment="1">
      <alignment horizontal="center"/>
    </xf>
    <xf numFmtId="0" fontId="0" fillId="6" borderId="1" xfId="0" applyFill="1" applyBorder="1"/>
    <xf numFmtId="0" fontId="7"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xf>
    <xf numFmtId="12" fontId="0" fillId="0" borderId="1" xfId="0" applyNumberFormat="1" applyBorder="1"/>
    <xf numFmtId="0" fontId="0" fillId="0" borderId="1" xfId="0" applyBorder="1" applyAlignment="1">
      <alignment vertical="center"/>
    </xf>
    <xf numFmtId="0" fontId="0" fillId="0" borderId="0" xfId="0" applyAlignment="1">
      <alignment vertical="center"/>
    </xf>
    <xf numFmtId="0" fontId="0" fillId="0" borderId="4"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9" borderId="1" xfId="0" applyFill="1" applyBorder="1"/>
    <xf numFmtId="2" fontId="0" fillId="0" borderId="1" xfId="0" applyNumberFormat="1" applyBorder="1"/>
    <xf numFmtId="0" fontId="0" fillId="10" borderId="1" xfId="0" applyFill="1" applyBorder="1"/>
    <xf numFmtId="0" fontId="20" fillId="6" borderId="11" xfId="0" applyFont="1" applyFill="1" applyBorder="1" applyAlignment="1">
      <alignment horizontal="center" vertical="center"/>
    </xf>
    <xf numFmtId="0" fontId="1" fillId="0" borderId="2" xfId="0" applyFont="1" applyBorder="1" applyAlignment="1">
      <alignment horizontal="center" vertical="center" textRotation="45"/>
    </xf>
    <xf numFmtId="0" fontId="1" fillId="0" borderId="3" xfId="0" applyFont="1" applyBorder="1" applyAlignment="1">
      <alignment horizontal="center" vertical="center" textRotation="45"/>
    </xf>
    <xf numFmtId="0" fontId="1" fillId="0" borderId="4" xfId="0" applyFont="1" applyBorder="1" applyAlignment="1">
      <alignment horizontal="center" vertical="center" textRotation="45"/>
    </xf>
    <xf numFmtId="0" fontId="0" fillId="2" borderId="5" xfId="0" applyFill="1" applyBorder="1" applyAlignment="1">
      <alignment horizontal="center"/>
    </xf>
    <xf numFmtId="0" fontId="0" fillId="2" borderId="6" xfId="0" applyFill="1" applyBorder="1" applyAlignment="1">
      <alignment horizontal="center"/>
    </xf>
    <xf numFmtId="0" fontId="0" fillId="2" borderId="7" xfId="0" applyFill="1" applyBorder="1" applyAlignment="1">
      <alignment horizontal="center"/>
    </xf>
    <xf numFmtId="0" fontId="0" fillId="2" borderId="1" xfId="0" applyFill="1" applyBorder="1" applyAlignment="1">
      <alignment horizontal="center"/>
    </xf>
    <xf numFmtId="0" fontId="2" fillId="0" borderId="2" xfId="0" applyFont="1" applyBorder="1" applyAlignment="1">
      <alignment horizontal="center" vertical="center" textRotation="60"/>
    </xf>
    <xf numFmtId="0" fontId="2" fillId="0" borderId="3" xfId="0" applyFont="1" applyBorder="1" applyAlignment="1">
      <alignment horizontal="center" vertical="center" textRotation="60"/>
    </xf>
    <xf numFmtId="0" fontId="10" fillId="0" borderId="2" xfId="0" applyFont="1" applyBorder="1" applyAlignment="1">
      <alignment horizontal="center" vertical="center" textRotation="60"/>
    </xf>
    <xf numFmtId="0" fontId="10" fillId="0" borderId="3" xfId="0" applyFont="1" applyBorder="1" applyAlignment="1">
      <alignment horizontal="center" vertical="center" textRotation="60"/>
    </xf>
    <xf numFmtId="0" fontId="10" fillId="0" borderId="4" xfId="0" applyFont="1" applyBorder="1" applyAlignment="1">
      <alignment horizontal="center" vertical="center" textRotation="60"/>
    </xf>
    <xf numFmtId="0" fontId="0" fillId="0" borderId="1" xfId="0" applyBorder="1" applyAlignment="1">
      <alignment horizontal="center"/>
    </xf>
    <xf numFmtId="0" fontId="16" fillId="0" borderId="1" xfId="0" applyFont="1" applyBorder="1" applyAlignment="1">
      <alignment horizontal="center" vertical="center" textRotation="90"/>
    </xf>
    <xf numFmtId="0" fontId="14" fillId="0" borderId="1" xfId="0" applyFont="1" applyBorder="1" applyAlignment="1">
      <alignment horizontal="center" vertical="center" textRotation="90"/>
    </xf>
    <xf numFmtId="0" fontId="15" fillId="0" borderId="1" xfId="0" applyFont="1" applyBorder="1" applyAlignment="1">
      <alignment horizontal="center" textRotation="90"/>
    </xf>
    <xf numFmtId="0" fontId="4" fillId="2" borderId="5" xfId="0" applyFont="1" applyFill="1" applyBorder="1" applyAlignment="1">
      <alignment horizontal="center" vertical="center" textRotation="60"/>
    </xf>
    <xf numFmtId="0" fontId="4" fillId="2" borderId="6" xfId="0" applyFont="1" applyFill="1" applyBorder="1" applyAlignment="1">
      <alignment horizontal="center" vertical="center" textRotation="60"/>
    </xf>
    <xf numFmtId="0" fontId="4" fillId="2" borderId="7" xfId="0" applyFont="1" applyFill="1" applyBorder="1" applyAlignment="1">
      <alignment horizontal="center" vertical="center" textRotation="60"/>
    </xf>
    <xf numFmtId="0" fontId="19" fillId="0" borderId="2" xfId="0" applyFont="1" applyBorder="1" applyAlignment="1">
      <alignment horizontal="center" vertical="center" textRotation="90"/>
    </xf>
    <xf numFmtId="0" fontId="19" fillId="0" borderId="3" xfId="0" applyFont="1" applyBorder="1" applyAlignment="1">
      <alignment horizontal="center" vertical="center" textRotation="90"/>
    </xf>
    <xf numFmtId="0" fontId="19" fillId="0" borderId="4" xfId="0" applyFont="1" applyBorder="1" applyAlignment="1">
      <alignment horizontal="center" vertical="center" textRotation="90"/>
    </xf>
    <xf numFmtId="0" fontId="0" fillId="6" borderId="1" xfId="0" applyFill="1" applyBorder="1" applyAlignment="1">
      <alignment horizontal="center"/>
    </xf>
    <xf numFmtId="0" fontId="12" fillId="7" borderId="1" xfId="0" applyFont="1" applyFill="1" applyBorder="1" applyAlignment="1">
      <alignment horizontal="center" vertical="center"/>
    </xf>
    <xf numFmtId="0" fontId="0" fillId="8" borderId="1" xfId="0" applyFill="1" applyBorder="1" applyAlignment="1">
      <alignment horizontal="center"/>
    </xf>
    <xf numFmtId="0" fontId="10" fillId="0" borderId="1" xfId="0" applyFont="1" applyBorder="1" applyAlignment="1">
      <alignment horizontal="center" vertical="center" textRotation="60"/>
    </xf>
    <xf numFmtId="0" fontId="11" fillId="0" borderId="1" xfId="0" applyFont="1" applyBorder="1" applyAlignment="1">
      <alignment horizontal="center" vertical="center" textRotation="48"/>
    </xf>
    <xf numFmtId="0" fontId="13" fillId="0" borderId="1" xfId="0" applyFont="1" applyBorder="1" applyAlignment="1">
      <alignment horizontal="center" vertical="center" textRotation="90"/>
    </xf>
    <xf numFmtId="0" fontId="7" fillId="0" borderId="2" xfId="0" applyFont="1" applyBorder="1" applyAlignment="1">
      <alignment horizontal="center" vertical="center" textRotation="60"/>
    </xf>
    <xf numFmtId="0" fontId="7" fillId="0" borderId="3" xfId="0" applyFont="1" applyBorder="1" applyAlignment="1">
      <alignment horizontal="center" vertical="center" textRotation="60"/>
    </xf>
    <xf numFmtId="0" fontId="0" fillId="2" borderId="8" xfId="0" applyFill="1" applyBorder="1" applyAlignment="1">
      <alignment horizontal="center"/>
    </xf>
    <xf numFmtId="0" fontId="0" fillId="2" borderId="9" xfId="0" applyFill="1" applyBorder="1" applyAlignment="1">
      <alignment horizontal="center"/>
    </xf>
    <xf numFmtId="0" fontId="0" fillId="2" borderId="10" xfId="0" applyFill="1" applyBorder="1" applyAlignment="1">
      <alignment horizontal="center"/>
    </xf>
    <xf numFmtId="0" fontId="4" fillId="2" borderId="1" xfId="0" applyFont="1" applyFill="1" applyBorder="1" applyAlignment="1">
      <alignment horizontal="center" vertical="center" textRotation="60"/>
    </xf>
    <xf numFmtId="0" fontId="13" fillId="0" borderId="2" xfId="0" applyFont="1" applyBorder="1" applyAlignment="1">
      <alignment horizontal="center" vertical="center" textRotation="90"/>
    </xf>
    <xf numFmtId="0" fontId="4" fillId="0" borderId="2" xfId="0" applyFont="1" applyBorder="1" applyAlignment="1">
      <alignment horizontal="center" vertical="center" textRotation="60"/>
    </xf>
    <xf numFmtId="0" fontId="4" fillId="0" borderId="3" xfId="0" applyFont="1" applyBorder="1" applyAlignment="1">
      <alignment horizontal="center" vertical="center" textRotation="60"/>
    </xf>
    <xf numFmtId="0" fontId="4" fillId="0" borderId="4" xfId="0" applyFont="1" applyBorder="1" applyAlignment="1">
      <alignment horizontal="center" vertical="center" textRotation="60"/>
    </xf>
    <xf numFmtId="0" fontId="4" fillId="0" borderId="12" xfId="0" applyFont="1" applyBorder="1" applyAlignment="1">
      <alignment horizontal="center" vertical="center" textRotation="60"/>
    </xf>
    <xf numFmtId="0" fontId="5" fillId="0" borderId="2" xfId="0" applyFont="1" applyBorder="1" applyAlignment="1">
      <alignment horizontal="center" vertical="center" textRotation="60"/>
    </xf>
    <xf numFmtId="0" fontId="5" fillId="0" borderId="3" xfId="0" applyFont="1" applyBorder="1" applyAlignment="1">
      <alignment horizontal="center" vertical="center" textRotation="60"/>
    </xf>
    <xf numFmtId="0" fontId="5" fillId="0" borderId="4" xfId="0" applyFont="1" applyBorder="1" applyAlignment="1">
      <alignment horizontal="center" vertical="center" textRotation="60"/>
    </xf>
    <xf numFmtId="0" fontId="0" fillId="0" borderId="1" xfId="0" applyBorder="1" applyAlignment="1">
      <alignment horizontal="center" textRotation="90"/>
    </xf>
    <xf numFmtId="0" fontId="11" fillId="0" borderId="2" xfId="0" applyFont="1" applyBorder="1" applyAlignment="1">
      <alignment horizontal="center" vertical="center" textRotation="60"/>
    </xf>
    <xf numFmtId="0" fontId="11" fillId="0" borderId="3" xfId="0" applyFont="1" applyBorder="1" applyAlignment="1">
      <alignment horizontal="center" vertical="center" textRotation="60"/>
    </xf>
    <xf numFmtId="0" fontId="0" fillId="0" borderId="1" xfId="0" applyBorder="1" applyAlignment="1">
      <alignment horizontal="right"/>
    </xf>
    <xf numFmtId="0" fontId="0" fillId="5" borderId="5" xfId="0" applyFill="1" applyBorder="1" applyAlignment="1">
      <alignment horizontal="center"/>
    </xf>
    <xf numFmtId="0" fontId="0" fillId="5" borderId="6" xfId="0" applyFill="1" applyBorder="1" applyAlignment="1">
      <alignment horizontal="center"/>
    </xf>
    <xf numFmtId="0" fontId="0" fillId="5" borderId="7" xfId="0" applyFill="1" applyBorder="1" applyAlignment="1">
      <alignment horizontal="center"/>
    </xf>
    <xf numFmtId="0" fontId="7" fillId="0" borderId="4" xfId="0" applyFont="1" applyBorder="1" applyAlignment="1">
      <alignment horizontal="center" vertical="center" textRotation="60"/>
    </xf>
    <xf numFmtId="0" fontId="7" fillId="0" borderId="1" xfId="0" applyFont="1" applyBorder="1" applyAlignment="1">
      <alignment horizontal="center" vertical="center" textRotation="60"/>
    </xf>
    <xf numFmtId="0" fontId="6" fillId="3" borderId="11" xfId="0" applyFont="1" applyFill="1" applyBorder="1" applyAlignment="1">
      <alignment horizontal="center"/>
    </xf>
    <xf numFmtId="0" fontId="1" fillId="0" borderId="1" xfId="0" applyFont="1" applyBorder="1" applyAlignment="1">
      <alignment horizontal="center" vertical="center" textRotation="44"/>
    </xf>
    <xf numFmtId="0" fontId="1" fillId="0" borderId="1" xfId="0" applyFont="1" applyBorder="1" applyAlignment="1">
      <alignment horizontal="center" vertical="center" textRotation="45"/>
    </xf>
    <xf numFmtId="0" fontId="7" fillId="0" borderId="1" xfId="0" applyFont="1" applyBorder="1" applyAlignment="1">
      <alignment horizontal="center" vertical="center" textRotation="45"/>
    </xf>
    <xf numFmtId="0" fontId="2" fillId="0" borderId="1" xfId="0" applyFont="1" applyBorder="1" applyAlignment="1">
      <alignment horizontal="center" vertical="center" textRotation="61"/>
    </xf>
    <xf numFmtId="0" fontId="2" fillId="0" borderId="1" xfId="0" applyFont="1" applyBorder="1" applyAlignment="1">
      <alignment horizontal="center" vertical="center" textRotation="60"/>
    </xf>
    <xf numFmtId="0" fontId="11" fillId="0" borderId="2" xfId="0" applyFont="1" applyBorder="1" applyAlignment="1">
      <alignment horizontal="center" vertical="center" textRotation="75"/>
    </xf>
    <xf numFmtId="0" fontId="11" fillId="0" borderId="3" xfId="0" applyFont="1" applyBorder="1" applyAlignment="1">
      <alignment horizontal="center" vertical="center" textRotation="75"/>
    </xf>
    <xf numFmtId="0" fontId="11" fillId="0" borderId="4" xfId="0" applyFont="1" applyBorder="1" applyAlignment="1">
      <alignment horizontal="center" vertical="center" textRotation="75"/>
    </xf>
    <xf numFmtId="0" fontId="7" fillId="0" borderId="2" xfId="0" applyFont="1" applyBorder="1" applyAlignment="1">
      <alignment horizontal="center" vertical="center" textRotation="75"/>
    </xf>
    <xf numFmtId="0" fontId="7" fillId="0" borderId="3" xfId="0" applyFont="1" applyBorder="1" applyAlignment="1">
      <alignment horizontal="center" vertical="center" textRotation="75"/>
    </xf>
    <xf numFmtId="0" fontId="1" fillId="0" borderId="2" xfId="0" applyFont="1" applyBorder="1" applyAlignment="1">
      <alignment horizontal="center" vertical="center" textRotation="60"/>
    </xf>
    <xf numFmtId="0" fontId="1" fillId="0" borderId="3" xfId="0" applyFont="1" applyBorder="1" applyAlignment="1">
      <alignment horizontal="center" vertical="center" textRotation="60"/>
    </xf>
    <xf numFmtId="0" fontId="1" fillId="0" borderId="4" xfId="0" applyFont="1" applyBorder="1" applyAlignment="1">
      <alignment horizontal="center" vertical="center" textRotation="60"/>
    </xf>
    <xf numFmtId="0" fontId="8" fillId="0" borderId="2" xfId="0" applyFont="1" applyBorder="1" applyAlignment="1">
      <alignment horizontal="center" vertical="center" textRotation="60"/>
    </xf>
    <xf numFmtId="0" fontId="8" fillId="0" borderId="3" xfId="0" applyFont="1" applyBorder="1" applyAlignment="1">
      <alignment horizontal="center" vertical="center" textRotation="60"/>
    </xf>
    <xf numFmtId="0" fontId="8" fillId="0" borderId="4" xfId="0" applyFont="1" applyBorder="1" applyAlignment="1">
      <alignment horizontal="center" vertical="center" textRotation="60"/>
    </xf>
    <xf numFmtId="0" fontId="9" fillId="0" borderId="2" xfId="0" applyFont="1" applyBorder="1" applyAlignment="1">
      <alignment horizontal="center" vertical="center" textRotation="60"/>
    </xf>
    <xf numFmtId="0" fontId="9" fillId="0" borderId="3" xfId="0" applyFont="1" applyBorder="1" applyAlignment="1">
      <alignment horizontal="center" vertical="center" textRotation="60"/>
    </xf>
    <xf numFmtId="0" fontId="3" fillId="0" borderId="2" xfId="0" applyFont="1" applyBorder="1" applyAlignment="1">
      <alignment horizontal="center" vertical="center" textRotation="60"/>
    </xf>
    <xf numFmtId="0" fontId="3" fillId="0" borderId="3" xfId="0" applyFont="1" applyBorder="1" applyAlignment="1">
      <alignment horizontal="center" vertical="center" textRotation="60"/>
    </xf>
    <xf numFmtId="0" fontId="3" fillId="0" borderId="4" xfId="0" applyFont="1" applyBorder="1" applyAlignment="1">
      <alignment horizontal="center" vertical="center" textRotation="60"/>
    </xf>
    <xf numFmtId="0" fontId="0" fillId="0" borderId="2" xfId="0" applyBorder="1" applyAlignment="1">
      <alignment horizontal="center" vertical="center" textRotation="60"/>
    </xf>
    <xf numFmtId="0" fontId="4" fillId="0" borderId="1" xfId="0" applyFont="1" applyBorder="1" applyAlignment="1">
      <alignment horizontal="center" vertical="center" textRotation="60"/>
    </xf>
    <xf numFmtId="0" fontId="17" fillId="0" borderId="1" xfId="0" applyFont="1" applyBorder="1" applyAlignment="1">
      <alignment horizontal="center" vertical="center" textRotation="90"/>
    </xf>
    <xf numFmtId="0" fontId="0" fillId="6" borderId="11" xfId="0" applyFill="1" applyBorder="1" applyAlignment="1">
      <alignment horizontal="center"/>
    </xf>
    <xf numFmtId="0" fontId="7" fillId="0" borderId="2" xfId="0" applyFont="1" applyBorder="1" applyAlignment="1">
      <alignment horizontal="center" vertical="center" textRotation="41"/>
    </xf>
    <xf numFmtId="0" fontId="7" fillId="0" borderId="3" xfId="0" applyFont="1" applyBorder="1" applyAlignment="1">
      <alignment horizontal="center" vertical="center" textRotation="41"/>
    </xf>
    <xf numFmtId="0" fontId="7" fillId="0" borderId="3" xfId="0" applyFont="1" applyBorder="1" applyAlignment="1">
      <alignment horizontal="center" vertical="center" textRotation="45"/>
    </xf>
    <xf numFmtId="0" fontId="7" fillId="0" borderId="4" xfId="0" applyFont="1" applyBorder="1" applyAlignment="1">
      <alignment horizontal="center" vertical="center" textRotation="45"/>
    </xf>
    <xf numFmtId="0" fontId="3" fillId="0" borderId="1" xfId="0" applyFont="1" applyBorder="1" applyAlignment="1">
      <alignment horizontal="center" vertical="center" textRotation="60"/>
    </xf>
    <xf numFmtId="0" fontId="0" fillId="0" borderId="1" xfId="0" applyBorder="1" applyAlignment="1">
      <alignment horizontal="center" vertical="center"/>
    </xf>
    <xf numFmtId="0" fontId="0" fillId="4" borderId="1" xfId="0" applyFill="1" applyBorder="1" applyAlignment="1">
      <alignment horizontal="center" vertical="center"/>
    </xf>
    <xf numFmtId="0" fontId="7" fillId="0" borderId="1" xfId="0" applyFont="1" applyBorder="1" applyAlignment="1">
      <alignment horizontal="center" vertical="center"/>
    </xf>
    <xf numFmtId="0" fontId="0" fillId="0" borderId="0" xfId="0" applyAlignment="1">
      <alignment horizontal="center" vertical="center"/>
    </xf>
    <xf numFmtId="0" fontId="0" fillId="0" borderId="11" xfId="0" applyBorder="1" applyAlignment="1">
      <alignment horizontal="center" vertical="center"/>
    </xf>
    <xf numFmtId="0" fontId="0" fillId="0" borderId="0" xfId="0" applyAlignment="1">
      <alignment horizontal="center"/>
    </xf>
    <xf numFmtId="0" fontId="0" fillId="5" borderId="9" xfId="0" applyFill="1" applyBorder="1" applyAlignment="1">
      <alignment horizontal="center"/>
    </xf>
    <xf numFmtId="0" fontId="1" fillId="0" borderId="1" xfId="0" applyFont="1" applyBorder="1" applyAlignment="1">
      <alignment horizontal="center" textRotation="45"/>
    </xf>
    <xf numFmtId="0" fontId="0" fillId="0" borderId="3" xfId="0" applyBorder="1" applyAlignment="1">
      <alignment horizontal="left" vertical="center"/>
    </xf>
    <xf numFmtId="0" fontId="0" fillId="0" borderId="4" xfId="0" applyBorder="1" applyAlignment="1">
      <alignment horizontal="left" vertical="center"/>
    </xf>
    <xf numFmtId="0" fontId="0" fillId="0" borderId="1" xfId="0" applyBorder="1" applyAlignment="1">
      <alignment horizontal="left" vertical="center"/>
    </xf>
    <xf numFmtId="0" fontId="0" fillId="0" borderId="2" xfId="0" applyBorder="1" applyAlignment="1">
      <alignment horizontal="left"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18" fillId="0" borderId="1" xfId="0" applyFont="1" applyBorder="1" applyAlignment="1">
      <alignment horizontal="center" vertical="center" textRotation="90"/>
    </xf>
    <xf numFmtId="0" fontId="0" fillId="4" borderId="5" xfId="0" applyFill="1" applyBorder="1" applyAlignment="1">
      <alignment horizontal="center"/>
    </xf>
    <xf numFmtId="0" fontId="0" fillId="4" borderId="7" xfId="0" applyFill="1" applyBorder="1" applyAlignment="1">
      <alignment horizontal="center"/>
    </xf>
    <xf numFmtId="0" fontId="0" fillId="6" borderId="0" xfId="0" applyFill="1" applyAlignment="1">
      <alignment horizontal="center"/>
    </xf>
    <xf numFmtId="0" fontId="10" fillId="0" borderId="1" xfId="0" applyFont="1" applyBorder="1" applyAlignment="1">
      <alignment horizontal="center" vertical="center"/>
    </xf>
    <xf numFmtId="0" fontId="7" fillId="0" borderId="2" xfId="0" applyFont="1" applyBorder="1" applyAlignment="1">
      <alignment horizontal="left" vertical="center"/>
    </xf>
    <xf numFmtId="0" fontId="7" fillId="0" borderId="3" xfId="0" applyFont="1" applyBorder="1" applyAlignment="1">
      <alignment horizontal="left" vertical="center"/>
    </xf>
    <xf numFmtId="0" fontId="7" fillId="0" borderId="1" xfId="0" applyFont="1" applyBorder="1" applyAlignment="1">
      <alignment horizontal="left" vertical="center"/>
    </xf>
    <xf numFmtId="0" fontId="7" fillId="0" borderId="4"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58F2A-52FD-43B8-97DB-9CB26EC5EC80}">
  <dimension ref="A2:D678"/>
  <sheetViews>
    <sheetView tabSelected="1" topLeftCell="A157" workbookViewId="0">
      <selection activeCell="F185" sqref="F185"/>
    </sheetView>
  </sheetViews>
  <sheetFormatPr baseColWidth="10" defaultRowHeight="15" x14ac:dyDescent="0.25"/>
  <cols>
    <col min="1" max="1" width="19.5703125" customWidth="1"/>
    <col min="2" max="2" width="17.5703125" customWidth="1"/>
    <col min="3" max="3" width="17" customWidth="1"/>
    <col min="4" max="4" width="14.42578125" customWidth="1"/>
  </cols>
  <sheetData>
    <row r="2" spans="1:4" x14ac:dyDescent="0.25">
      <c r="A2" s="95" t="s">
        <v>201</v>
      </c>
      <c r="B2" s="95"/>
      <c r="C2" s="95"/>
      <c r="D2" s="95"/>
    </row>
    <row r="3" spans="1:4" x14ac:dyDescent="0.25">
      <c r="A3" s="1"/>
      <c r="B3" s="1" t="s">
        <v>0</v>
      </c>
      <c r="C3" s="1" t="s">
        <v>28</v>
      </c>
      <c r="D3" s="1" t="s">
        <v>9</v>
      </c>
    </row>
    <row r="4" spans="1:4" x14ac:dyDescent="0.25">
      <c r="A4" s="79" t="s">
        <v>1</v>
      </c>
      <c r="B4" s="1" t="s">
        <v>2</v>
      </c>
      <c r="C4" s="2">
        <v>0.75</v>
      </c>
      <c r="D4" s="1">
        <v>1.5</v>
      </c>
    </row>
    <row r="5" spans="1:4" x14ac:dyDescent="0.25">
      <c r="A5" s="80"/>
      <c r="B5" s="1" t="s">
        <v>3</v>
      </c>
      <c r="C5" s="1" t="s">
        <v>10</v>
      </c>
      <c r="D5" s="1">
        <v>1</v>
      </c>
    </row>
    <row r="6" spans="1:4" x14ac:dyDescent="0.25">
      <c r="A6" s="80"/>
      <c r="B6" s="1" t="s">
        <v>4</v>
      </c>
      <c r="C6" s="1" t="s">
        <v>11</v>
      </c>
      <c r="D6" s="1">
        <v>2.5499999999999998</v>
      </c>
    </row>
    <row r="7" spans="1:4" x14ac:dyDescent="0.25">
      <c r="A7" s="80"/>
      <c r="B7" s="1" t="s">
        <v>5</v>
      </c>
      <c r="C7" s="1" t="s">
        <v>12</v>
      </c>
      <c r="D7" s="1">
        <v>0.6</v>
      </c>
    </row>
    <row r="8" spans="1:4" x14ac:dyDescent="0.25">
      <c r="A8" s="80"/>
      <c r="B8" s="1" t="s">
        <v>6</v>
      </c>
      <c r="C8" s="1" t="s">
        <v>13</v>
      </c>
      <c r="D8" s="1">
        <v>0.7</v>
      </c>
    </row>
    <row r="9" spans="1:4" x14ac:dyDescent="0.25">
      <c r="A9" s="80"/>
      <c r="B9" s="1" t="s">
        <v>7</v>
      </c>
      <c r="C9" s="1" t="s">
        <v>14</v>
      </c>
      <c r="D9" s="1">
        <v>3.15</v>
      </c>
    </row>
    <row r="10" spans="1:4" x14ac:dyDescent="0.25">
      <c r="A10" s="80"/>
      <c r="B10" s="1" t="s">
        <v>8</v>
      </c>
      <c r="C10" s="1" t="s">
        <v>12</v>
      </c>
      <c r="D10" s="1">
        <v>0.25</v>
      </c>
    </row>
    <row r="11" spans="1:4" x14ac:dyDescent="0.25">
      <c r="A11" s="50" t="s">
        <v>199</v>
      </c>
      <c r="B11" s="50"/>
      <c r="C11" s="50"/>
      <c r="D11" s="7">
        <f>SUM(D4:D10)</f>
        <v>9.75</v>
      </c>
    </row>
    <row r="12" spans="1:4" x14ac:dyDescent="0.25">
      <c r="A12" s="13"/>
      <c r="B12" s="13"/>
      <c r="C12" s="13"/>
      <c r="D12" s="13"/>
    </row>
    <row r="13" spans="1:4" x14ac:dyDescent="0.25">
      <c r="A13" s="13"/>
      <c r="B13" s="13"/>
      <c r="C13" s="13"/>
      <c r="D13" s="13"/>
    </row>
    <row r="14" spans="1:4" x14ac:dyDescent="0.25">
      <c r="A14" s="1"/>
      <c r="B14" s="1" t="s">
        <v>0</v>
      </c>
      <c r="C14" s="1" t="s">
        <v>28</v>
      </c>
      <c r="D14" s="1" t="s">
        <v>9</v>
      </c>
    </row>
    <row r="15" spans="1:4" x14ac:dyDescent="0.25">
      <c r="A15" s="79" t="s">
        <v>18</v>
      </c>
      <c r="B15" s="1" t="s">
        <v>158</v>
      </c>
      <c r="C15" s="2">
        <v>0.75</v>
      </c>
      <c r="D15" s="1">
        <v>1.5</v>
      </c>
    </row>
    <row r="16" spans="1:4" x14ac:dyDescent="0.25">
      <c r="A16" s="80"/>
      <c r="B16" s="1" t="s">
        <v>26</v>
      </c>
      <c r="C16" s="1" t="s">
        <v>165</v>
      </c>
      <c r="D16" s="1">
        <v>13</v>
      </c>
    </row>
    <row r="17" spans="1:4" x14ac:dyDescent="0.25">
      <c r="A17" s="80"/>
      <c r="B17" s="1" t="s">
        <v>159</v>
      </c>
      <c r="C17" s="1" t="s">
        <v>12</v>
      </c>
      <c r="D17" s="1">
        <v>0.8</v>
      </c>
    </row>
    <row r="18" spans="1:4" x14ac:dyDescent="0.25">
      <c r="A18" s="80"/>
      <c r="B18" s="1" t="s">
        <v>160</v>
      </c>
      <c r="C18" s="1" t="s">
        <v>12</v>
      </c>
      <c r="D18" s="1">
        <v>0.8</v>
      </c>
    </row>
    <row r="19" spans="1:4" x14ac:dyDescent="0.25">
      <c r="A19" s="80"/>
      <c r="B19" s="1" t="s">
        <v>5</v>
      </c>
      <c r="C19" s="1" t="s">
        <v>166</v>
      </c>
      <c r="D19" s="1">
        <v>0.47499999999999998</v>
      </c>
    </row>
    <row r="20" spans="1:4" x14ac:dyDescent="0.25">
      <c r="A20" s="80"/>
      <c r="B20" s="1" t="s">
        <v>30</v>
      </c>
      <c r="C20" s="1" t="s">
        <v>13</v>
      </c>
      <c r="D20" s="1">
        <v>0.6</v>
      </c>
    </row>
    <row r="21" spans="1:4" x14ac:dyDescent="0.25">
      <c r="A21" s="80"/>
      <c r="B21" s="1" t="s">
        <v>161</v>
      </c>
      <c r="C21" s="1" t="s">
        <v>12</v>
      </c>
      <c r="D21" s="1">
        <v>0.65</v>
      </c>
    </row>
    <row r="22" spans="1:4" x14ac:dyDescent="0.25">
      <c r="A22" s="80"/>
      <c r="B22" s="1" t="s">
        <v>162</v>
      </c>
      <c r="C22" s="1" t="s">
        <v>12</v>
      </c>
      <c r="D22" s="1">
        <v>0.56000000000000005</v>
      </c>
    </row>
    <row r="23" spans="1:4" x14ac:dyDescent="0.25">
      <c r="A23" s="80"/>
      <c r="B23" s="1" t="s">
        <v>200</v>
      </c>
      <c r="C23" s="1" t="s">
        <v>167</v>
      </c>
      <c r="D23" s="1">
        <v>0.42499999999999999</v>
      </c>
    </row>
    <row r="24" spans="1:4" x14ac:dyDescent="0.25">
      <c r="A24" s="80"/>
      <c r="B24" s="1" t="s">
        <v>163</v>
      </c>
      <c r="C24" s="1" t="s">
        <v>167</v>
      </c>
      <c r="D24" s="1">
        <v>0.22500000000000001</v>
      </c>
    </row>
    <row r="25" spans="1:4" x14ac:dyDescent="0.25">
      <c r="A25" s="81"/>
      <c r="B25" s="1" t="s">
        <v>164</v>
      </c>
      <c r="C25" s="1" t="s">
        <v>12</v>
      </c>
      <c r="D25" s="1">
        <v>1.7</v>
      </c>
    </row>
    <row r="26" spans="1:4" x14ac:dyDescent="0.25">
      <c r="A26" s="50" t="s">
        <v>199</v>
      </c>
      <c r="B26" s="50"/>
      <c r="C26" s="50"/>
      <c r="D26" s="7">
        <f>SUM(D15:D25)</f>
        <v>20.735000000000003</v>
      </c>
    </row>
    <row r="27" spans="1:4" x14ac:dyDescent="0.25">
      <c r="A27" s="13"/>
      <c r="B27" s="13"/>
      <c r="C27" s="13"/>
      <c r="D27" s="13"/>
    </row>
    <row r="28" spans="1:4" x14ac:dyDescent="0.25">
      <c r="A28" s="96" t="s">
        <v>19</v>
      </c>
      <c r="B28" s="1" t="s">
        <v>0</v>
      </c>
      <c r="C28" s="1" t="s">
        <v>28</v>
      </c>
      <c r="D28" s="1" t="s">
        <v>9</v>
      </c>
    </row>
    <row r="29" spans="1:4" x14ac:dyDescent="0.25">
      <c r="A29" s="96"/>
      <c r="B29" s="1" t="s">
        <v>20</v>
      </c>
      <c r="C29" s="2" t="s">
        <v>12</v>
      </c>
      <c r="D29" s="1">
        <v>0.17</v>
      </c>
    </row>
    <row r="30" spans="1:4" x14ac:dyDescent="0.25">
      <c r="A30" s="96"/>
      <c r="B30" s="1" t="s">
        <v>21</v>
      </c>
      <c r="C30" s="3">
        <v>1</v>
      </c>
      <c r="D30" s="1">
        <v>0.33</v>
      </c>
    </row>
    <row r="31" spans="1:4" x14ac:dyDescent="0.25">
      <c r="A31" s="96"/>
      <c r="B31" s="1" t="s">
        <v>22</v>
      </c>
      <c r="C31" s="3">
        <v>1</v>
      </c>
      <c r="D31" s="1">
        <v>0.316</v>
      </c>
    </row>
    <row r="32" spans="1:4" x14ac:dyDescent="0.25">
      <c r="A32" s="96"/>
      <c r="B32" s="1" t="s">
        <v>23</v>
      </c>
      <c r="C32" s="3" t="s">
        <v>11</v>
      </c>
      <c r="D32" s="1">
        <v>0.9</v>
      </c>
    </row>
    <row r="33" spans="1:4" x14ac:dyDescent="0.25">
      <c r="A33" s="50" t="s">
        <v>199</v>
      </c>
      <c r="B33" s="50"/>
      <c r="C33" s="50"/>
      <c r="D33" s="7">
        <f>SUM(D29:D32)</f>
        <v>1.7160000000000002</v>
      </c>
    </row>
    <row r="34" spans="1:4" x14ac:dyDescent="0.25">
      <c r="A34" s="13"/>
      <c r="B34" s="13"/>
      <c r="C34" s="13"/>
      <c r="D34" s="13"/>
    </row>
    <row r="35" spans="1:4" x14ac:dyDescent="0.25">
      <c r="A35" s="15"/>
      <c r="B35" s="13"/>
      <c r="C35" s="13"/>
      <c r="D35" s="13"/>
    </row>
    <row r="36" spans="1:4" x14ac:dyDescent="0.25">
      <c r="A36" s="15"/>
      <c r="B36" s="13"/>
      <c r="C36" s="14"/>
      <c r="D36" s="13"/>
    </row>
    <row r="37" spans="1:4" x14ac:dyDescent="0.25">
      <c r="A37" s="15"/>
      <c r="B37" s="13"/>
      <c r="C37" s="16"/>
      <c r="D37" s="13"/>
    </row>
    <row r="38" spans="1:4" x14ac:dyDescent="0.25">
      <c r="A38" s="15"/>
      <c r="B38" s="13"/>
      <c r="C38" s="16"/>
      <c r="D38" s="13"/>
    </row>
    <row r="39" spans="1:4" x14ac:dyDescent="0.25">
      <c r="A39" s="15"/>
      <c r="B39" s="13"/>
      <c r="C39" s="16"/>
      <c r="D39" s="13"/>
    </row>
    <row r="40" spans="1:4" x14ac:dyDescent="0.25">
      <c r="A40" s="13"/>
      <c r="B40" s="13"/>
      <c r="C40" s="13"/>
      <c r="D40" s="13"/>
    </row>
    <row r="42" spans="1:4" x14ac:dyDescent="0.25">
      <c r="A42" s="96" t="s">
        <v>24</v>
      </c>
      <c r="B42" s="1" t="s">
        <v>0</v>
      </c>
      <c r="C42" s="1" t="s">
        <v>28</v>
      </c>
      <c r="D42" s="1" t="s">
        <v>9</v>
      </c>
    </row>
    <row r="43" spans="1:4" x14ac:dyDescent="0.25">
      <c r="A43" s="96"/>
      <c r="B43" s="1" t="s">
        <v>25</v>
      </c>
      <c r="C43" s="2" t="s">
        <v>12</v>
      </c>
      <c r="D43" s="1">
        <v>0.17</v>
      </c>
    </row>
    <row r="44" spans="1:4" x14ac:dyDescent="0.25">
      <c r="A44" s="96"/>
      <c r="B44" s="1" t="s">
        <v>26</v>
      </c>
      <c r="C44" s="3" t="s">
        <v>168</v>
      </c>
      <c r="D44" s="1">
        <v>2.5</v>
      </c>
    </row>
    <row r="45" spans="1:4" x14ac:dyDescent="0.25">
      <c r="A45" s="96"/>
      <c r="B45" s="1" t="s">
        <v>21</v>
      </c>
      <c r="C45" s="3">
        <v>1</v>
      </c>
      <c r="D45" s="1">
        <v>0.33</v>
      </c>
    </row>
    <row r="46" spans="1:4" x14ac:dyDescent="0.25">
      <c r="A46" s="96"/>
      <c r="B46" s="1" t="s">
        <v>22</v>
      </c>
      <c r="C46" s="3">
        <v>1</v>
      </c>
      <c r="D46" s="1">
        <v>0.316</v>
      </c>
    </row>
    <row r="47" spans="1:4" x14ac:dyDescent="0.25">
      <c r="A47" s="47"/>
      <c r="B47" s="48"/>
      <c r="C47" s="49"/>
      <c r="D47" s="7">
        <f>SUM(D43:D46)</f>
        <v>3.3159999999999998</v>
      </c>
    </row>
    <row r="49" spans="1:4" x14ac:dyDescent="0.25">
      <c r="A49" s="79" t="s">
        <v>50</v>
      </c>
      <c r="B49" s="1" t="s">
        <v>0</v>
      </c>
      <c r="C49" s="1" t="s">
        <v>28</v>
      </c>
      <c r="D49" s="1" t="s">
        <v>9</v>
      </c>
    </row>
    <row r="50" spans="1:4" x14ac:dyDescent="0.25">
      <c r="A50" s="80"/>
      <c r="B50" s="1" t="s">
        <v>51</v>
      </c>
      <c r="C50" s="2" t="s">
        <v>165</v>
      </c>
      <c r="D50" s="1">
        <v>13</v>
      </c>
    </row>
    <row r="51" spans="1:4" x14ac:dyDescent="0.25">
      <c r="A51" s="80"/>
      <c r="B51" s="1" t="s">
        <v>52</v>
      </c>
      <c r="C51" s="3" t="s">
        <v>170</v>
      </c>
      <c r="D51" s="1">
        <v>0.75</v>
      </c>
    </row>
    <row r="52" spans="1:4" x14ac:dyDescent="0.25">
      <c r="A52" s="80"/>
      <c r="B52" s="1" t="s">
        <v>53</v>
      </c>
      <c r="C52" s="3" t="s">
        <v>17</v>
      </c>
      <c r="D52" s="1">
        <v>0.3</v>
      </c>
    </row>
    <row r="53" spans="1:4" x14ac:dyDescent="0.25">
      <c r="A53" s="80"/>
      <c r="B53" s="1" t="s">
        <v>43</v>
      </c>
      <c r="C53" s="3" t="s">
        <v>13</v>
      </c>
      <c r="D53" s="1">
        <v>0.4</v>
      </c>
    </row>
    <row r="54" spans="1:4" x14ac:dyDescent="0.25">
      <c r="A54" s="80"/>
      <c r="B54" s="1" t="s">
        <v>54</v>
      </c>
      <c r="C54" s="1"/>
      <c r="D54" s="1">
        <v>0.1</v>
      </c>
    </row>
    <row r="55" spans="1:4" x14ac:dyDescent="0.25">
      <c r="A55" s="80"/>
      <c r="B55" s="1" t="s">
        <v>55</v>
      </c>
      <c r="C55" s="1"/>
      <c r="D55" s="1">
        <v>1</v>
      </c>
    </row>
    <row r="56" spans="1:4" x14ac:dyDescent="0.25">
      <c r="A56" s="80"/>
      <c r="B56" s="1" t="s">
        <v>57</v>
      </c>
      <c r="C56" s="1"/>
      <c r="D56" s="1">
        <v>0.1</v>
      </c>
    </row>
    <row r="57" spans="1:4" x14ac:dyDescent="0.25">
      <c r="A57" s="80"/>
      <c r="B57" s="6" t="s">
        <v>46</v>
      </c>
      <c r="C57" s="6" t="s">
        <v>170</v>
      </c>
      <c r="D57" s="6">
        <v>0.63200000000000001</v>
      </c>
    </row>
    <row r="58" spans="1:4" x14ac:dyDescent="0.25">
      <c r="A58" s="50" t="s">
        <v>199</v>
      </c>
      <c r="B58" s="50"/>
      <c r="C58" s="50"/>
      <c r="D58" s="7">
        <f>SUM(D50:D57)</f>
        <v>16.282</v>
      </c>
    </row>
    <row r="60" spans="1:4" x14ac:dyDescent="0.25">
      <c r="A60" s="1"/>
      <c r="B60" s="1" t="s">
        <v>0</v>
      </c>
      <c r="C60" s="1" t="s">
        <v>28</v>
      </c>
      <c r="D60" s="1" t="s">
        <v>9</v>
      </c>
    </row>
    <row r="61" spans="1:4" x14ac:dyDescent="0.25">
      <c r="A61" s="98" t="s">
        <v>31</v>
      </c>
      <c r="B61" s="1" t="s">
        <v>32</v>
      </c>
      <c r="C61" s="2" t="s">
        <v>181</v>
      </c>
      <c r="D61" s="1">
        <v>12.5</v>
      </c>
    </row>
    <row r="62" spans="1:4" x14ac:dyDescent="0.25">
      <c r="A62" s="98"/>
      <c r="B62" s="1" t="s">
        <v>33</v>
      </c>
      <c r="C62" s="1" t="s">
        <v>11</v>
      </c>
      <c r="D62" s="1">
        <v>2.5499999999999998</v>
      </c>
    </row>
    <row r="63" spans="1:4" x14ac:dyDescent="0.25">
      <c r="A63" s="98"/>
      <c r="B63" s="1" t="s">
        <v>34</v>
      </c>
      <c r="C63" s="1" t="s">
        <v>13</v>
      </c>
      <c r="D63" s="1">
        <v>0.5</v>
      </c>
    </row>
    <row r="64" spans="1:4" x14ac:dyDescent="0.25">
      <c r="A64" s="98"/>
      <c r="B64" s="1" t="s">
        <v>35</v>
      </c>
      <c r="C64" s="1" t="s">
        <v>12</v>
      </c>
      <c r="D64" s="1">
        <v>0.6</v>
      </c>
    </row>
    <row r="65" spans="1:4" x14ac:dyDescent="0.25">
      <c r="A65" s="98"/>
      <c r="B65" s="1" t="s">
        <v>36</v>
      </c>
      <c r="C65" s="1" t="s">
        <v>12</v>
      </c>
      <c r="D65" s="1">
        <v>0.2</v>
      </c>
    </row>
    <row r="66" spans="1:4" x14ac:dyDescent="0.25">
      <c r="A66" s="98"/>
      <c r="B66" s="1" t="s">
        <v>37</v>
      </c>
      <c r="C66" s="1" t="s">
        <v>12</v>
      </c>
      <c r="D66" s="1">
        <v>0.25</v>
      </c>
    </row>
    <row r="67" spans="1:4" x14ac:dyDescent="0.25">
      <c r="A67" s="98"/>
      <c r="B67" s="1" t="s">
        <v>47</v>
      </c>
      <c r="C67" s="1"/>
      <c r="D67" s="1">
        <v>0.2</v>
      </c>
    </row>
    <row r="68" spans="1:4" x14ac:dyDescent="0.25">
      <c r="A68" s="50" t="s">
        <v>199</v>
      </c>
      <c r="B68" s="50"/>
      <c r="C68" s="50"/>
      <c r="D68" s="7">
        <f>SUM(D61:D67)</f>
        <v>16.8</v>
      </c>
    </row>
    <row r="70" spans="1:4" x14ac:dyDescent="0.25">
      <c r="A70" s="6"/>
      <c r="B70" s="6" t="s">
        <v>0</v>
      </c>
      <c r="C70" s="6" t="s">
        <v>28</v>
      </c>
      <c r="D70" s="6" t="s">
        <v>9</v>
      </c>
    </row>
    <row r="71" spans="1:4" x14ac:dyDescent="0.25">
      <c r="A71" s="97" t="s">
        <v>38</v>
      </c>
      <c r="B71" s="1" t="s">
        <v>39</v>
      </c>
      <c r="C71" s="2" t="s">
        <v>165</v>
      </c>
      <c r="D71" s="1">
        <v>6.75</v>
      </c>
    </row>
    <row r="72" spans="1:4" x14ac:dyDescent="0.25">
      <c r="A72" s="97"/>
      <c r="B72" s="1" t="s">
        <v>33</v>
      </c>
      <c r="C72" s="1" t="s">
        <v>11</v>
      </c>
      <c r="D72" s="1">
        <v>2.5499999999999998</v>
      </c>
    </row>
    <row r="73" spans="1:4" x14ac:dyDescent="0.25">
      <c r="A73" s="97"/>
      <c r="B73" s="1" t="s">
        <v>34</v>
      </c>
      <c r="C73" s="1" t="s">
        <v>13</v>
      </c>
      <c r="D73" s="1">
        <v>0.5</v>
      </c>
    </row>
    <row r="74" spans="1:4" x14ac:dyDescent="0.25">
      <c r="A74" s="97"/>
      <c r="B74" s="1" t="s">
        <v>35</v>
      </c>
      <c r="C74" s="1" t="s">
        <v>12</v>
      </c>
      <c r="D74" s="1">
        <v>0.6</v>
      </c>
    </row>
    <row r="75" spans="1:4" x14ac:dyDescent="0.25">
      <c r="A75" s="97"/>
      <c r="B75" s="1" t="s">
        <v>36</v>
      </c>
      <c r="C75" s="1" t="s">
        <v>12</v>
      </c>
      <c r="D75" s="1">
        <v>0.2</v>
      </c>
    </row>
    <row r="76" spans="1:4" x14ac:dyDescent="0.25">
      <c r="A76" s="97"/>
      <c r="B76" s="1" t="s">
        <v>37</v>
      </c>
      <c r="C76" s="1" t="s">
        <v>12</v>
      </c>
      <c r="D76" s="1">
        <v>0.25</v>
      </c>
    </row>
    <row r="77" spans="1:4" x14ac:dyDescent="0.25">
      <c r="A77" s="97"/>
      <c r="B77" s="1" t="s">
        <v>47</v>
      </c>
      <c r="C77" s="1"/>
      <c r="D77" s="1">
        <v>0.2</v>
      </c>
    </row>
    <row r="78" spans="1:4" x14ac:dyDescent="0.25">
      <c r="A78" s="50" t="s">
        <v>199</v>
      </c>
      <c r="B78" s="50"/>
      <c r="C78" s="50"/>
      <c r="D78" s="7">
        <f>SUM(D71:D77)</f>
        <v>11.049999999999999</v>
      </c>
    </row>
    <row r="80" spans="1:4" x14ac:dyDescent="0.25">
      <c r="A80" s="79" t="s">
        <v>368</v>
      </c>
      <c r="B80" s="1" t="s">
        <v>0</v>
      </c>
      <c r="C80" s="1" t="s">
        <v>202</v>
      </c>
      <c r="D80" s="1" t="s">
        <v>9</v>
      </c>
    </row>
    <row r="81" spans="1:4" x14ac:dyDescent="0.25">
      <c r="A81" s="80"/>
      <c r="B81" s="1" t="s">
        <v>58</v>
      </c>
      <c r="C81" s="2" t="s">
        <v>14</v>
      </c>
      <c r="D81" s="1">
        <v>4.8</v>
      </c>
    </row>
    <row r="82" spans="1:4" x14ac:dyDescent="0.25">
      <c r="A82" s="80"/>
      <c r="B82" s="1" t="s">
        <v>52</v>
      </c>
      <c r="C82" s="3" t="s">
        <v>170</v>
      </c>
      <c r="D82" s="1">
        <v>0.75</v>
      </c>
    </row>
    <row r="83" spans="1:4" x14ac:dyDescent="0.25">
      <c r="A83" s="80"/>
      <c r="B83" s="1" t="s">
        <v>53</v>
      </c>
      <c r="C83" s="3" t="s">
        <v>17</v>
      </c>
      <c r="D83" s="1">
        <v>0.3</v>
      </c>
    </row>
    <row r="84" spans="1:4" x14ac:dyDescent="0.25">
      <c r="A84" s="80"/>
      <c r="B84" s="1" t="s">
        <v>43</v>
      </c>
      <c r="C84" s="3" t="s">
        <v>13</v>
      </c>
      <c r="D84" s="1">
        <v>0.4</v>
      </c>
    </row>
    <row r="85" spans="1:4" x14ac:dyDescent="0.25">
      <c r="A85" s="80"/>
      <c r="B85" s="1" t="s">
        <v>54</v>
      </c>
      <c r="C85" s="1"/>
      <c r="D85" s="1">
        <v>0.1</v>
      </c>
    </row>
    <row r="86" spans="1:4" x14ac:dyDescent="0.25">
      <c r="A86" s="80"/>
      <c r="B86" s="1" t="s">
        <v>55</v>
      </c>
      <c r="C86" s="1"/>
      <c r="D86" s="1">
        <v>1</v>
      </c>
    </row>
    <row r="87" spans="1:4" x14ac:dyDescent="0.25">
      <c r="A87" s="80"/>
      <c r="B87" s="1" t="s">
        <v>57</v>
      </c>
      <c r="C87" s="1"/>
      <c r="D87" s="1">
        <v>0.1</v>
      </c>
    </row>
    <row r="88" spans="1:4" x14ac:dyDescent="0.25">
      <c r="A88" s="80"/>
      <c r="B88" s="1" t="s">
        <v>46</v>
      </c>
      <c r="C88" s="1" t="s">
        <v>170</v>
      </c>
      <c r="D88" s="1">
        <v>0.63200000000000001</v>
      </c>
    </row>
    <row r="89" spans="1:4" x14ac:dyDescent="0.25">
      <c r="A89" s="50" t="s">
        <v>199</v>
      </c>
      <c r="B89" s="50"/>
      <c r="C89" s="50"/>
      <c r="D89" s="7">
        <f>SUM(D81:D88)</f>
        <v>8.081999999999999</v>
      </c>
    </row>
    <row r="92" spans="1:4" x14ac:dyDescent="0.25">
      <c r="A92" s="79" t="s">
        <v>203</v>
      </c>
      <c r="B92" s="1" t="s">
        <v>0</v>
      </c>
      <c r="C92" s="1" t="s">
        <v>202</v>
      </c>
      <c r="D92" s="1" t="s">
        <v>9</v>
      </c>
    </row>
    <row r="93" spans="1:4" x14ac:dyDescent="0.25">
      <c r="A93" s="80"/>
      <c r="B93" s="1" t="s">
        <v>26</v>
      </c>
      <c r="C93" s="2" t="s">
        <v>171</v>
      </c>
      <c r="D93" s="1">
        <v>13</v>
      </c>
    </row>
    <row r="94" spans="1:4" x14ac:dyDescent="0.25">
      <c r="A94" s="80"/>
      <c r="B94" s="1" t="s">
        <v>204</v>
      </c>
      <c r="C94" s="3" t="s">
        <v>180</v>
      </c>
      <c r="D94" s="1"/>
    </row>
    <row r="95" spans="1:4" x14ac:dyDescent="0.25">
      <c r="A95" s="80"/>
      <c r="B95" s="1" t="s">
        <v>205</v>
      </c>
      <c r="C95" s="3" t="s">
        <v>13</v>
      </c>
      <c r="D95" s="1"/>
    </row>
    <row r="96" spans="1:4" x14ac:dyDescent="0.25">
      <c r="A96" s="80"/>
      <c r="B96" s="1" t="s">
        <v>206</v>
      </c>
      <c r="C96" s="3" t="s">
        <v>12</v>
      </c>
      <c r="D96" s="1">
        <v>0.5</v>
      </c>
    </row>
    <row r="97" spans="1:4" x14ac:dyDescent="0.25">
      <c r="A97" s="80"/>
      <c r="B97" s="1" t="s">
        <v>207</v>
      </c>
      <c r="C97" s="1" t="s">
        <v>10</v>
      </c>
      <c r="D97" s="1">
        <v>1</v>
      </c>
    </row>
    <row r="98" spans="1:4" x14ac:dyDescent="0.25">
      <c r="A98" s="80"/>
      <c r="B98" s="1" t="s">
        <v>208</v>
      </c>
      <c r="C98" s="1" t="s">
        <v>213</v>
      </c>
      <c r="D98" s="1">
        <v>3</v>
      </c>
    </row>
    <row r="99" spans="1:4" x14ac:dyDescent="0.25">
      <c r="A99" s="80"/>
      <c r="B99" s="1" t="s">
        <v>209</v>
      </c>
      <c r="C99" s="1" t="s">
        <v>13</v>
      </c>
      <c r="D99" s="1">
        <v>0.2</v>
      </c>
    </row>
    <row r="100" spans="1:4" x14ac:dyDescent="0.25">
      <c r="A100" s="80"/>
      <c r="B100" s="1" t="s">
        <v>210</v>
      </c>
      <c r="C100" s="1" t="s">
        <v>13</v>
      </c>
      <c r="D100" s="1">
        <v>0.25</v>
      </c>
    </row>
    <row r="101" spans="1:4" x14ac:dyDescent="0.25">
      <c r="A101" s="80"/>
      <c r="B101" s="1" t="s">
        <v>211</v>
      </c>
      <c r="C101" s="1" t="s">
        <v>189</v>
      </c>
      <c r="D101" s="1">
        <v>0.1</v>
      </c>
    </row>
    <row r="102" spans="1:4" x14ac:dyDescent="0.25">
      <c r="A102" s="81"/>
      <c r="B102" s="1" t="s">
        <v>212</v>
      </c>
      <c r="C102" s="1"/>
      <c r="D102" s="1">
        <v>0.2</v>
      </c>
    </row>
    <row r="103" spans="1:4" x14ac:dyDescent="0.25">
      <c r="A103" s="50" t="s">
        <v>199</v>
      </c>
      <c r="B103" s="50"/>
      <c r="C103" s="50"/>
      <c r="D103" s="7">
        <f>SUM(D93:D102)</f>
        <v>18.25</v>
      </c>
    </row>
    <row r="105" spans="1:4" x14ac:dyDescent="0.25">
      <c r="A105" s="79" t="s">
        <v>59</v>
      </c>
      <c r="B105" s="1" t="s">
        <v>0</v>
      </c>
      <c r="C105" s="1" t="s">
        <v>202</v>
      </c>
      <c r="D105" s="1" t="s">
        <v>9</v>
      </c>
    </row>
    <row r="106" spans="1:4" x14ac:dyDescent="0.25">
      <c r="A106" s="80"/>
      <c r="B106" s="1" t="s">
        <v>51</v>
      </c>
      <c r="C106" s="2" t="s">
        <v>171</v>
      </c>
      <c r="D106" s="1">
        <v>13</v>
      </c>
    </row>
    <row r="107" spans="1:4" x14ac:dyDescent="0.25">
      <c r="A107" s="80"/>
      <c r="B107" s="1" t="s">
        <v>60</v>
      </c>
      <c r="C107" s="3" t="s">
        <v>180</v>
      </c>
      <c r="D107" s="1"/>
    </row>
    <row r="108" spans="1:4" x14ac:dyDescent="0.25">
      <c r="A108" s="80"/>
      <c r="B108" s="1" t="s">
        <v>32</v>
      </c>
      <c r="C108" s="3" t="s">
        <v>13</v>
      </c>
      <c r="D108" s="1"/>
    </row>
    <row r="109" spans="1:4" x14ac:dyDescent="0.25">
      <c r="A109" s="80"/>
      <c r="B109" s="1" t="s">
        <v>61</v>
      </c>
      <c r="C109" s="3" t="s">
        <v>12</v>
      </c>
      <c r="D109" s="1">
        <v>0.5</v>
      </c>
    </row>
    <row r="110" spans="1:4" x14ac:dyDescent="0.25">
      <c r="A110" s="80"/>
      <c r="B110" s="1" t="s">
        <v>62</v>
      </c>
      <c r="C110" s="1" t="s">
        <v>172</v>
      </c>
      <c r="D110" s="1">
        <v>0.4</v>
      </c>
    </row>
    <row r="111" spans="1:4" x14ac:dyDescent="0.25">
      <c r="A111" s="80"/>
      <c r="B111" s="1" t="s">
        <v>63</v>
      </c>
      <c r="C111" s="1" t="s">
        <v>166</v>
      </c>
      <c r="D111" s="1">
        <v>1.3</v>
      </c>
    </row>
    <row r="112" spans="1:4" x14ac:dyDescent="0.25">
      <c r="A112" s="80"/>
      <c r="B112" s="1" t="s">
        <v>64</v>
      </c>
      <c r="C112" s="1" t="s">
        <v>11</v>
      </c>
      <c r="D112" s="1">
        <v>0.9</v>
      </c>
    </row>
    <row r="113" spans="1:4" x14ac:dyDescent="0.25">
      <c r="A113" s="80"/>
      <c r="B113" s="1" t="s">
        <v>47</v>
      </c>
      <c r="C113" s="1"/>
      <c r="D113" s="1">
        <v>0.2</v>
      </c>
    </row>
    <row r="114" spans="1:4" x14ac:dyDescent="0.25">
      <c r="A114" s="81"/>
      <c r="B114" s="1" t="s">
        <v>65</v>
      </c>
      <c r="C114" s="1" t="s">
        <v>167</v>
      </c>
      <c r="D114" s="1">
        <v>0.2</v>
      </c>
    </row>
    <row r="115" spans="1:4" x14ac:dyDescent="0.25">
      <c r="A115" s="50" t="s">
        <v>199</v>
      </c>
      <c r="B115" s="50"/>
      <c r="C115" s="50"/>
      <c r="D115" s="7">
        <f>SUM(D106:D114)</f>
        <v>16.5</v>
      </c>
    </row>
    <row r="117" spans="1:4" x14ac:dyDescent="0.25">
      <c r="A117" s="99" t="s">
        <v>44</v>
      </c>
      <c r="B117" s="1" t="s">
        <v>0</v>
      </c>
      <c r="C117" s="1" t="s">
        <v>202</v>
      </c>
      <c r="D117" s="1" t="s">
        <v>9</v>
      </c>
    </row>
    <row r="118" spans="1:4" x14ac:dyDescent="0.25">
      <c r="A118" s="99"/>
      <c r="B118" s="1" t="s">
        <v>45</v>
      </c>
      <c r="C118" s="2" t="s">
        <v>169</v>
      </c>
      <c r="D118" s="1">
        <v>3.85</v>
      </c>
    </row>
    <row r="119" spans="1:4" x14ac:dyDescent="0.25">
      <c r="A119" s="99"/>
      <c r="B119" s="1" t="s">
        <v>40</v>
      </c>
      <c r="C119" s="3" t="s">
        <v>10</v>
      </c>
      <c r="D119" s="1">
        <v>0.35</v>
      </c>
    </row>
    <row r="120" spans="1:4" x14ac:dyDescent="0.25">
      <c r="A120" s="99"/>
      <c r="B120" s="1" t="s">
        <v>41</v>
      </c>
      <c r="C120" s="3" t="s">
        <v>11</v>
      </c>
      <c r="D120" s="1">
        <v>0.2</v>
      </c>
    </row>
    <row r="121" spans="1:4" x14ac:dyDescent="0.25">
      <c r="A121" s="99"/>
      <c r="B121" s="1" t="s">
        <v>43</v>
      </c>
      <c r="C121" s="3" t="s">
        <v>12</v>
      </c>
      <c r="D121" s="1">
        <v>0.16</v>
      </c>
    </row>
    <row r="122" spans="1:4" x14ac:dyDescent="0.25">
      <c r="A122" s="99"/>
      <c r="B122" s="1" t="s">
        <v>46</v>
      </c>
      <c r="C122" s="1" t="s">
        <v>170</v>
      </c>
      <c r="D122" s="1">
        <v>0.63200000000000001</v>
      </c>
    </row>
    <row r="123" spans="1:4" x14ac:dyDescent="0.25">
      <c r="A123" s="99"/>
      <c r="B123" s="1" t="s">
        <v>47</v>
      </c>
      <c r="C123" s="1"/>
      <c r="D123" s="1">
        <v>0.1</v>
      </c>
    </row>
    <row r="124" spans="1:4" x14ac:dyDescent="0.25">
      <c r="A124" s="99"/>
      <c r="B124" s="1" t="s">
        <v>48</v>
      </c>
      <c r="C124" s="1"/>
      <c r="D124" s="1">
        <v>0.1</v>
      </c>
    </row>
    <row r="125" spans="1:4" x14ac:dyDescent="0.25">
      <c r="A125" s="99"/>
      <c r="B125" s="1" t="s">
        <v>49</v>
      </c>
      <c r="C125" s="1"/>
      <c r="D125" s="1">
        <v>0.1</v>
      </c>
    </row>
    <row r="126" spans="1:4" x14ac:dyDescent="0.25">
      <c r="A126" s="50" t="s">
        <v>199</v>
      </c>
      <c r="B126" s="50"/>
      <c r="C126" s="50"/>
      <c r="D126" s="7">
        <f>SUM(D118:D125)</f>
        <v>5.4919999999999991</v>
      </c>
    </row>
    <row r="128" spans="1:4" x14ac:dyDescent="0.25">
      <c r="A128" s="79" t="s">
        <v>66</v>
      </c>
      <c r="B128" s="1" t="s">
        <v>0</v>
      </c>
      <c r="C128" s="1" t="s">
        <v>202</v>
      </c>
      <c r="D128" s="1" t="s">
        <v>9</v>
      </c>
    </row>
    <row r="129" spans="1:4" x14ac:dyDescent="0.25">
      <c r="A129" s="80"/>
      <c r="B129" s="1" t="s">
        <v>67</v>
      </c>
      <c r="C129" s="2" t="s">
        <v>173</v>
      </c>
      <c r="D129" s="1">
        <v>7.2</v>
      </c>
    </row>
    <row r="130" spans="1:4" x14ac:dyDescent="0.25">
      <c r="A130" s="80"/>
      <c r="B130" s="1" t="s">
        <v>68</v>
      </c>
      <c r="C130" s="3" t="s">
        <v>14</v>
      </c>
      <c r="D130" s="1">
        <v>0.15</v>
      </c>
    </row>
    <row r="131" spans="1:4" x14ac:dyDescent="0.25">
      <c r="A131" s="80"/>
      <c r="B131" s="1" t="s">
        <v>34</v>
      </c>
      <c r="C131" s="3" t="s">
        <v>11</v>
      </c>
      <c r="D131" s="1">
        <v>0.3</v>
      </c>
    </row>
    <row r="132" spans="1:4" x14ac:dyDescent="0.25">
      <c r="A132" s="80"/>
      <c r="B132" s="1" t="s">
        <v>65</v>
      </c>
      <c r="C132" s="3" t="s">
        <v>167</v>
      </c>
      <c r="D132" s="1">
        <v>0.2</v>
      </c>
    </row>
    <row r="133" spans="1:4" x14ac:dyDescent="0.25">
      <c r="A133" s="80"/>
      <c r="B133" s="1" t="s">
        <v>43</v>
      </c>
      <c r="C133" s="1" t="s">
        <v>166</v>
      </c>
      <c r="D133" s="1">
        <v>0.16</v>
      </c>
    </row>
    <row r="134" spans="1:4" x14ac:dyDescent="0.25">
      <c r="A134" s="80"/>
      <c r="B134" s="1" t="s">
        <v>69</v>
      </c>
      <c r="C134" s="1" t="s">
        <v>11</v>
      </c>
      <c r="D134" s="1">
        <v>2.6</v>
      </c>
    </row>
    <row r="135" spans="1:4" x14ac:dyDescent="0.25">
      <c r="A135" s="80"/>
      <c r="B135" s="1" t="s">
        <v>47</v>
      </c>
      <c r="C135" s="1"/>
      <c r="D135" s="1">
        <v>0.1</v>
      </c>
    </row>
    <row r="136" spans="1:4" x14ac:dyDescent="0.25">
      <c r="A136" s="80"/>
      <c r="B136" s="1" t="s">
        <v>70</v>
      </c>
      <c r="C136" s="1" t="s">
        <v>171</v>
      </c>
      <c r="D136" s="1">
        <v>1</v>
      </c>
    </row>
    <row r="137" spans="1:4" x14ac:dyDescent="0.25">
      <c r="A137" s="81"/>
      <c r="B137" s="1" t="s">
        <v>56</v>
      </c>
      <c r="C137" s="1"/>
      <c r="D137" s="1">
        <v>0.1</v>
      </c>
    </row>
    <row r="138" spans="1:4" x14ac:dyDescent="0.25">
      <c r="A138" s="50" t="s">
        <v>199</v>
      </c>
      <c r="B138" s="50"/>
      <c r="C138" s="50"/>
      <c r="D138" s="7">
        <f>SUM(D129:D137)</f>
        <v>11.809999999999999</v>
      </c>
    </row>
    <row r="142" spans="1:4" x14ac:dyDescent="0.25">
      <c r="A142" s="53" t="s">
        <v>71</v>
      </c>
      <c r="B142" s="1" t="s">
        <v>0</v>
      </c>
      <c r="C142" s="1" t="s">
        <v>202</v>
      </c>
      <c r="D142" s="1" t="s">
        <v>9</v>
      </c>
    </row>
    <row r="143" spans="1:4" x14ac:dyDescent="0.25">
      <c r="A143" s="54"/>
      <c r="B143" s="1" t="s">
        <v>72</v>
      </c>
      <c r="C143" s="2" t="s">
        <v>174</v>
      </c>
      <c r="D143" s="1">
        <v>0.8</v>
      </c>
    </row>
    <row r="144" spans="1:4" x14ac:dyDescent="0.25">
      <c r="A144" s="54"/>
      <c r="B144" s="1" t="s">
        <v>73</v>
      </c>
      <c r="C144" s="3" t="s">
        <v>14</v>
      </c>
      <c r="D144" s="1">
        <v>2.7</v>
      </c>
    </row>
    <row r="145" spans="1:4" x14ac:dyDescent="0.25">
      <c r="A145" s="54"/>
      <c r="B145" s="1" t="s">
        <v>62</v>
      </c>
      <c r="C145" s="3" t="s">
        <v>175</v>
      </c>
      <c r="D145" s="1">
        <v>1</v>
      </c>
    </row>
    <row r="146" spans="1:4" x14ac:dyDescent="0.25">
      <c r="A146" s="54"/>
      <c r="B146" s="1" t="s">
        <v>74</v>
      </c>
      <c r="C146" s="3" t="s">
        <v>168</v>
      </c>
      <c r="D146" s="1">
        <v>0.32</v>
      </c>
    </row>
    <row r="147" spans="1:4" x14ac:dyDescent="0.25">
      <c r="A147" s="54"/>
      <c r="B147" s="1" t="s">
        <v>63</v>
      </c>
      <c r="C147" s="1" t="s">
        <v>12</v>
      </c>
      <c r="D147" s="1">
        <v>1.7</v>
      </c>
    </row>
    <row r="148" spans="1:4" x14ac:dyDescent="0.25">
      <c r="A148" s="54"/>
      <c r="B148" s="1" t="s">
        <v>75</v>
      </c>
      <c r="C148" s="1" t="s">
        <v>11</v>
      </c>
      <c r="D148" s="1">
        <v>0.86599999999999999</v>
      </c>
    </row>
    <row r="149" spans="1:4" x14ac:dyDescent="0.25">
      <c r="A149" s="54"/>
      <c r="B149" s="1" t="s">
        <v>65</v>
      </c>
      <c r="C149" s="1" t="s">
        <v>167</v>
      </c>
      <c r="D149" s="1">
        <v>0.2</v>
      </c>
    </row>
    <row r="150" spans="1:4" x14ac:dyDescent="0.25">
      <c r="A150" s="54"/>
      <c r="B150" s="1" t="s">
        <v>47</v>
      </c>
      <c r="C150" s="1"/>
      <c r="D150" s="1">
        <v>0.1</v>
      </c>
    </row>
    <row r="151" spans="1:4" x14ac:dyDescent="0.25">
      <c r="A151" s="47" t="s">
        <v>199</v>
      </c>
      <c r="B151" s="48"/>
      <c r="C151" s="49"/>
      <c r="D151" s="1">
        <f>SUM(D143:D150)</f>
        <v>7.6859999999999999</v>
      </c>
    </row>
    <row r="153" spans="1:4" x14ac:dyDescent="0.25">
      <c r="A153" s="104" t="s">
        <v>76</v>
      </c>
      <c r="B153" s="1" t="s">
        <v>0</v>
      </c>
      <c r="C153" s="1" t="s">
        <v>202</v>
      </c>
      <c r="D153" s="1" t="s">
        <v>9</v>
      </c>
    </row>
    <row r="154" spans="1:4" x14ac:dyDescent="0.25">
      <c r="A154" s="105"/>
      <c r="B154" s="1" t="s">
        <v>77</v>
      </c>
      <c r="C154" s="2" t="s">
        <v>173</v>
      </c>
      <c r="D154" s="1">
        <v>18</v>
      </c>
    </row>
    <row r="155" spans="1:4" x14ac:dyDescent="0.25">
      <c r="A155" s="105"/>
      <c r="B155" s="1" t="s">
        <v>51</v>
      </c>
      <c r="C155" s="3" t="s">
        <v>171</v>
      </c>
      <c r="D155" s="1"/>
    </row>
    <row r="156" spans="1:4" x14ac:dyDescent="0.25">
      <c r="A156" s="105"/>
      <c r="B156" s="1" t="s">
        <v>60</v>
      </c>
      <c r="C156" s="3" t="s">
        <v>15</v>
      </c>
      <c r="D156" s="1"/>
    </row>
    <row r="157" spans="1:4" x14ac:dyDescent="0.25">
      <c r="A157" s="105"/>
      <c r="B157" s="1" t="s">
        <v>32</v>
      </c>
      <c r="C157" s="3" t="s">
        <v>171</v>
      </c>
      <c r="D157" s="1"/>
    </row>
    <row r="158" spans="1:4" x14ac:dyDescent="0.25">
      <c r="A158" s="105"/>
      <c r="B158" s="1" t="s">
        <v>27</v>
      </c>
      <c r="C158" s="1" t="s">
        <v>168</v>
      </c>
      <c r="D158" s="1">
        <v>0.57999999999999996</v>
      </c>
    </row>
    <row r="159" spans="1:4" x14ac:dyDescent="0.25">
      <c r="A159" s="105"/>
      <c r="B159" s="1" t="s">
        <v>78</v>
      </c>
      <c r="C159" s="1" t="s">
        <v>11</v>
      </c>
      <c r="D159" s="1">
        <v>0.435</v>
      </c>
    </row>
    <row r="160" spans="1:4" x14ac:dyDescent="0.25">
      <c r="A160" s="105"/>
      <c r="B160" s="1" t="s">
        <v>79</v>
      </c>
      <c r="C160" s="1" t="s">
        <v>176</v>
      </c>
      <c r="D160" s="1">
        <v>0.5</v>
      </c>
    </row>
    <row r="161" spans="1:4" x14ac:dyDescent="0.25">
      <c r="A161" s="105"/>
      <c r="B161" s="1" t="s">
        <v>68</v>
      </c>
      <c r="C161" s="1" t="s">
        <v>14</v>
      </c>
      <c r="D161" s="1">
        <v>0.13500000000000001</v>
      </c>
    </row>
    <row r="162" spans="1:4" x14ac:dyDescent="0.25">
      <c r="A162" s="105"/>
      <c r="B162" s="1" t="s">
        <v>65</v>
      </c>
      <c r="C162" s="1" t="s">
        <v>167</v>
      </c>
      <c r="D162" s="1">
        <v>0.2</v>
      </c>
    </row>
    <row r="163" spans="1:4" x14ac:dyDescent="0.25">
      <c r="A163" s="105"/>
      <c r="B163" s="1" t="s">
        <v>43</v>
      </c>
      <c r="C163" s="1" t="s">
        <v>166</v>
      </c>
      <c r="D163" s="1">
        <v>0.2</v>
      </c>
    </row>
    <row r="164" spans="1:4" x14ac:dyDescent="0.25">
      <c r="A164" s="105"/>
      <c r="B164" s="1" t="s">
        <v>34</v>
      </c>
      <c r="C164" s="1" t="s">
        <v>11</v>
      </c>
      <c r="D164" s="1">
        <v>0.3</v>
      </c>
    </row>
    <row r="165" spans="1:4" x14ac:dyDescent="0.25">
      <c r="A165" s="105"/>
      <c r="B165" s="1" t="s">
        <v>47</v>
      </c>
      <c r="C165" s="1"/>
      <c r="D165" s="1">
        <v>0.7</v>
      </c>
    </row>
    <row r="166" spans="1:4" x14ac:dyDescent="0.25">
      <c r="A166" s="105"/>
      <c r="B166" s="1" t="s">
        <v>70</v>
      </c>
      <c r="C166" s="1" t="s">
        <v>171</v>
      </c>
      <c r="D166" s="1">
        <v>0.1</v>
      </c>
    </row>
    <row r="167" spans="1:4" x14ac:dyDescent="0.25">
      <c r="A167" s="105"/>
      <c r="B167" s="4" t="s">
        <v>211</v>
      </c>
      <c r="C167" s="4" t="s">
        <v>214</v>
      </c>
      <c r="D167" s="4">
        <v>0.15</v>
      </c>
    </row>
    <row r="168" spans="1:4" x14ac:dyDescent="0.25">
      <c r="A168" s="47" t="s">
        <v>199</v>
      </c>
      <c r="B168" s="48"/>
      <c r="C168" s="49"/>
      <c r="D168" s="1">
        <f>SUM(D154:D167)</f>
        <v>21.299999999999997</v>
      </c>
    </row>
    <row r="170" spans="1:4" x14ac:dyDescent="0.25">
      <c r="A170" s="101" t="s">
        <v>80</v>
      </c>
      <c r="B170" s="1" t="s">
        <v>0</v>
      </c>
      <c r="C170" s="1" t="s">
        <v>202</v>
      </c>
      <c r="D170" s="1" t="s">
        <v>9</v>
      </c>
    </row>
    <row r="171" spans="1:4" x14ac:dyDescent="0.25">
      <c r="A171" s="102"/>
      <c r="B171" s="1" t="s">
        <v>77</v>
      </c>
      <c r="C171" s="2" t="s">
        <v>173</v>
      </c>
      <c r="D171" s="1">
        <v>18</v>
      </c>
    </row>
    <row r="172" spans="1:4" x14ac:dyDescent="0.25">
      <c r="A172" s="102"/>
      <c r="B172" s="1" t="s">
        <v>51</v>
      </c>
      <c r="C172" s="3" t="s">
        <v>171</v>
      </c>
      <c r="D172" s="1"/>
    </row>
    <row r="173" spans="1:4" x14ac:dyDescent="0.25">
      <c r="A173" s="102"/>
      <c r="B173" s="1" t="s">
        <v>60</v>
      </c>
      <c r="C173" s="3" t="s">
        <v>15</v>
      </c>
      <c r="D173" s="1"/>
    </row>
    <row r="174" spans="1:4" x14ac:dyDescent="0.25">
      <c r="A174" s="102"/>
      <c r="B174" s="1" t="s">
        <v>32</v>
      </c>
      <c r="C174" s="3" t="s">
        <v>171</v>
      </c>
      <c r="D174" s="1"/>
    </row>
    <row r="175" spans="1:4" x14ac:dyDescent="0.25">
      <c r="A175" s="102"/>
      <c r="B175" s="1" t="s">
        <v>27</v>
      </c>
      <c r="C175" s="1" t="s">
        <v>168</v>
      </c>
      <c r="D175" s="1">
        <v>0.57999999999999996</v>
      </c>
    </row>
    <row r="176" spans="1:4" x14ac:dyDescent="0.25">
      <c r="A176" s="102"/>
      <c r="B176" s="1" t="s">
        <v>78</v>
      </c>
      <c r="C176" s="1" t="s">
        <v>11</v>
      </c>
      <c r="D176" s="1">
        <v>0.435</v>
      </c>
    </row>
    <row r="177" spans="1:4" x14ac:dyDescent="0.25">
      <c r="A177" s="102"/>
      <c r="B177" s="1" t="s">
        <v>79</v>
      </c>
      <c r="C177" s="1" t="s">
        <v>176</v>
      </c>
      <c r="D177" s="1">
        <v>0.5</v>
      </c>
    </row>
    <row r="178" spans="1:4" x14ac:dyDescent="0.25">
      <c r="A178" s="102"/>
      <c r="B178" s="1" t="s">
        <v>68</v>
      </c>
      <c r="C178" s="1" t="s">
        <v>14</v>
      </c>
      <c r="D178" s="1">
        <v>0.13500000000000001</v>
      </c>
    </row>
    <row r="179" spans="1:4" x14ac:dyDescent="0.25">
      <c r="A179" s="102"/>
      <c r="B179" s="1" t="s">
        <v>65</v>
      </c>
      <c r="C179" s="1" t="s">
        <v>167</v>
      </c>
      <c r="D179" s="1">
        <v>0.2</v>
      </c>
    </row>
    <row r="180" spans="1:4" x14ac:dyDescent="0.25">
      <c r="A180" s="102"/>
      <c r="B180" s="1" t="s">
        <v>43</v>
      </c>
      <c r="C180" s="1" t="s">
        <v>12</v>
      </c>
      <c r="D180" s="1">
        <v>0.2</v>
      </c>
    </row>
    <row r="181" spans="1:4" x14ac:dyDescent="0.25">
      <c r="A181" s="102"/>
      <c r="B181" s="1" t="s">
        <v>34</v>
      </c>
      <c r="C181" s="1" t="s">
        <v>168</v>
      </c>
      <c r="D181" s="1">
        <v>0.3</v>
      </c>
    </row>
    <row r="182" spans="1:4" x14ac:dyDescent="0.25">
      <c r="A182" s="102"/>
      <c r="B182" s="1" t="s">
        <v>47</v>
      </c>
      <c r="C182" s="1"/>
      <c r="D182" s="1">
        <v>0.7</v>
      </c>
    </row>
    <row r="183" spans="1:4" x14ac:dyDescent="0.25">
      <c r="A183" s="102"/>
      <c r="B183" s="1" t="s">
        <v>70</v>
      </c>
      <c r="C183" s="1" t="s">
        <v>171</v>
      </c>
      <c r="D183" s="1">
        <v>0.1</v>
      </c>
    </row>
    <row r="184" spans="1:4" x14ac:dyDescent="0.25">
      <c r="A184" s="102"/>
      <c r="B184" s="1" t="s">
        <v>56</v>
      </c>
      <c r="C184" s="1"/>
      <c r="D184" s="4">
        <v>0.15</v>
      </c>
    </row>
    <row r="185" spans="1:4" x14ac:dyDescent="0.25">
      <c r="A185" s="103"/>
      <c r="B185" s="1" t="s">
        <v>81</v>
      </c>
      <c r="C185" s="1" t="s">
        <v>166</v>
      </c>
      <c r="D185" s="1">
        <v>0.1</v>
      </c>
    </row>
    <row r="186" spans="1:4" x14ac:dyDescent="0.25">
      <c r="A186" s="47" t="s">
        <v>199</v>
      </c>
      <c r="B186" s="48"/>
      <c r="C186" s="49"/>
      <c r="D186" s="7">
        <f>SUM(D171:D185)</f>
        <v>21.4</v>
      </c>
    </row>
    <row r="192" spans="1:4" x14ac:dyDescent="0.25">
      <c r="A192" s="100" t="s">
        <v>82</v>
      </c>
      <c r="B192" s="1" t="s">
        <v>0</v>
      </c>
      <c r="C192" s="1" t="s">
        <v>202</v>
      </c>
      <c r="D192" s="1" t="s">
        <v>9</v>
      </c>
    </row>
    <row r="193" spans="1:4" x14ac:dyDescent="0.25">
      <c r="A193" s="100"/>
      <c r="B193" s="1" t="s">
        <v>73</v>
      </c>
      <c r="C193" s="2" t="s">
        <v>14</v>
      </c>
      <c r="D193" s="1">
        <v>2.7</v>
      </c>
    </row>
    <row r="194" spans="1:4" x14ac:dyDescent="0.25">
      <c r="A194" s="100"/>
      <c r="B194" s="1" t="s">
        <v>72</v>
      </c>
      <c r="C194" s="3" t="s">
        <v>174</v>
      </c>
      <c r="D194" s="1">
        <v>0.8</v>
      </c>
    </row>
    <row r="195" spans="1:4" x14ac:dyDescent="0.25">
      <c r="A195" s="100"/>
      <c r="B195" s="1" t="s">
        <v>62</v>
      </c>
      <c r="C195" s="3" t="s">
        <v>177</v>
      </c>
      <c r="D195" s="1">
        <v>1</v>
      </c>
    </row>
    <row r="196" spans="1:4" x14ac:dyDescent="0.25">
      <c r="A196" s="100"/>
      <c r="B196" s="1" t="s">
        <v>65</v>
      </c>
      <c r="C196" s="3" t="s">
        <v>168</v>
      </c>
      <c r="D196" s="1">
        <v>0.2</v>
      </c>
    </row>
    <row r="197" spans="1:4" x14ac:dyDescent="0.25">
      <c r="A197" s="100"/>
      <c r="B197" s="1" t="s">
        <v>43</v>
      </c>
      <c r="C197" s="1" t="s">
        <v>29</v>
      </c>
      <c r="D197" s="1">
        <v>0.2</v>
      </c>
    </row>
    <row r="198" spans="1:4" x14ac:dyDescent="0.25">
      <c r="A198" s="100"/>
      <c r="B198" s="1" t="s">
        <v>37</v>
      </c>
      <c r="C198" s="1" t="s">
        <v>178</v>
      </c>
      <c r="D198" s="1">
        <v>0.5</v>
      </c>
    </row>
    <row r="199" spans="1:4" x14ac:dyDescent="0.25">
      <c r="A199" s="100"/>
      <c r="B199" s="1" t="s">
        <v>83</v>
      </c>
      <c r="C199" s="1" t="s">
        <v>167</v>
      </c>
      <c r="D199" s="1">
        <v>0.6</v>
      </c>
    </row>
    <row r="200" spans="1:4" x14ac:dyDescent="0.25">
      <c r="A200" s="100"/>
      <c r="B200" s="1" t="s">
        <v>63</v>
      </c>
      <c r="C200" s="1" t="s">
        <v>11</v>
      </c>
      <c r="D200" s="1">
        <v>2.5499999999999998</v>
      </c>
    </row>
    <row r="201" spans="1:4" x14ac:dyDescent="0.25">
      <c r="A201" s="100"/>
      <c r="B201" s="1" t="s">
        <v>47</v>
      </c>
      <c r="C201" s="1"/>
      <c r="D201" s="1">
        <v>0.2</v>
      </c>
    </row>
    <row r="202" spans="1:4" x14ac:dyDescent="0.25">
      <c r="A202" s="47" t="s">
        <v>199</v>
      </c>
      <c r="B202" s="48"/>
      <c r="C202" s="49"/>
      <c r="D202" s="7">
        <f>SUM(D193:D201)</f>
        <v>8.75</v>
      </c>
    </row>
    <row r="205" spans="1:4" x14ac:dyDescent="0.25">
      <c r="A205" s="106" t="s">
        <v>84</v>
      </c>
      <c r="B205" s="1" t="s">
        <v>0</v>
      </c>
      <c r="C205" s="1" t="s">
        <v>202</v>
      </c>
      <c r="D205" s="1" t="s">
        <v>9</v>
      </c>
    </row>
    <row r="206" spans="1:4" x14ac:dyDescent="0.25">
      <c r="A206" s="107"/>
      <c r="B206" s="1" t="s">
        <v>85</v>
      </c>
      <c r="C206" s="2" t="s">
        <v>15</v>
      </c>
      <c r="D206" s="1">
        <v>0.15</v>
      </c>
    </row>
    <row r="207" spans="1:4" x14ac:dyDescent="0.25">
      <c r="A207" s="107"/>
      <c r="B207" s="1" t="s">
        <v>86</v>
      </c>
      <c r="C207" s="3" t="s">
        <v>14</v>
      </c>
      <c r="D207" s="1">
        <v>6.75</v>
      </c>
    </row>
    <row r="208" spans="1:4" x14ac:dyDescent="0.25">
      <c r="A208" s="107"/>
      <c r="B208" s="1" t="s">
        <v>62</v>
      </c>
      <c r="C208" s="3" t="s">
        <v>179</v>
      </c>
      <c r="D208" s="1">
        <v>0.46</v>
      </c>
    </row>
    <row r="209" spans="1:4" x14ac:dyDescent="0.25">
      <c r="A209" s="107"/>
      <c r="B209" s="1" t="s">
        <v>87</v>
      </c>
      <c r="C209" s="3" t="s">
        <v>12</v>
      </c>
      <c r="D209" s="1">
        <v>0.24</v>
      </c>
    </row>
    <row r="210" spans="1:4" x14ac:dyDescent="0.25">
      <c r="A210" s="107"/>
      <c r="B210" s="1" t="s">
        <v>43</v>
      </c>
      <c r="C210" s="1" t="s">
        <v>29</v>
      </c>
      <c r="D210" s="1">
        <v>0.15</v>
      </c>
    </row>
    <row r="211" spans="1:4" x14ac:dyDescent="0.25">
      <c r="A211" s="107"/>
      <c r="B211" s="1" t="s">
        <v>70</v>
      </c>
      <c r="C211" s="1" t="s">
        <v>11</v>
      </c>
      <c r="D211" s="1">
        <v>0.15</v>
      </c>
    </row>
    <row r="212" spans="1:4" x14ac:dyDescent="0.25">
      <c r="A212" s="107"/>
      <c r="B212" s="1" t="s">
        <v>34</v>
      </c>
      <c r="C212" s="1" t="s">
        <v>168</v>
      </c>
      <c r="D212" s="1">
        <v>0.4</v>
      </c>
    </row>
    <row r="213" spans="1:4" x14ac:dyDescent="0.25">
      <c r="A213" s="107"/>
      <c r="B213" s="1" t="s">
        <v>65</v>
      </c>
      <c r="C213" s="1" t="s">
        <v>167</v>
      </c>
      <c r="D213" s="1">
        <v>0.2</v>
      </c>
    </row>
    <row r="214" spans="1:4" x14ac:dyDescent="0.25">
      <c r="A214" s="107"/>
      <c r="B214" s="1" t="s">
        <v>63</v>
      </c>
      <c r="C214" s="1" t="s">
        <v>12</v>
      </c>
      <c r="D214" s="1">
        <v>1.7</v>
      </c>
    </row>
    <row r="215" spans="1:4" x14ac:dyDescent="0.25">
      <c r="A215" s="107"/>
      <c r="B215" s="1" t="s">
        <v>47</v>
      </c>
      <c r="C215" s="1"/>
      <c r="D215" s="1">
        <v>0.7</v>
      </c>
    </row>
    <row r="216" spans="1:4" x14ac:dyDescent="0.25">
      <c r="A216" s="108"/>
      <c r="B216" s="1" t="s">
        <v>56</v>
      </c>
      <c r="C216" s="1"/>
      <c r="D216" s="1">
        <v>0.1</v>
      </c>
    </row>
    <row r="217" spans="1:4" x14ac:dyDescent="0.25">
      <c r="A217" s="47" t="s">
        <v>199</v>
      </c>
      <c r="B217" s="48"/>
      <c r="C217" s="49"/>
      <c r="D217" s="7">
        <f>SUM(D206:D216)</f>
        <v>10.999999999999998</v>
      </c>
    </row>
    <row r="219" spans="1:4" x14ac:dyDescent="0.25">
      <c r="A219" s="44" t="s">
        <v>90</v>
      </c>
      <c r="B219" s="1" t="s">
        <v>0</v>
      </c>
      <c r="C219" s="1" t="s">
        <v>202</v>
      </c>
      <c r="D219" s="1" t="s">
        <v>9</v>
      </c>
    </row>
    <row r="220" spans="1:4" x14ac:dyDescent="0.25">
      <c r="A220" s="45"/>
      <c r="B220" s="1" t="s">
        <v>91</v>
      </c>
      <c r="C220" s="2" t="s">
        <v>669</v>
      </c>
      <c r="D220" s="1">
        <v>4.5999999999999996</v>
      </c>
    </row>
    <row r="221" spans="1:4" x14ac:dyDescent="0.25">
      <c r="A221" s="45"/>
      <c r="B221" s="1" t="s">
        <v>74</v>
      </c>
      <c r="C221" s="3" t="s">
        <v>29</v>
      </c>
      <c r="D221" s="1">
        <v>0.1</v>
      </c>
    </row>
    <row r="222" spans="1:4" x14ac:dyDescent="0.25">
      <c r="A222" s="45"/>
      <c r="B222" s="1" t="s">
        <v>65</v>
      </c>
      <c r="C222" s="3" t="s">
        <v>167</v>
      </c>
      <c r="D222" s="1">
        <v>0.2</v>
      </c>
    </row>
    <row r="223" spans="1:4" x14ac:dyDescent="0.25">
      <c r="A223" s="45"/>
      <c r="B223" s="1" t="s">
        <v>92</v>
      </c>
      <c r="C223" s="3" t="s">
        <v>29</v>
      </c>
      <c r="D223" s="1">
        <v>0.85</v>
      </c>
    </row>
    <row r="224" spans="1:4" x14ac:dyDescent="0.25">
      <c r="A224" s="45"/>
      <c r="B224" s="1" t="s">
        <v>47</v>
      </c>
      <c r="C224" s="1"/>
      <c r="D224" s="1">
        <v>0.2</v>
      </c>
    </row>
    <row r="225" spans="1:4" x14ac:dyDescent="0.25">
      <c r="A225" s="46"/>
      <c r="B225" s="1" t="s">
        <v>62</v>
      </c>
      <c r="C225" s="1" t="s">
        <v>172</v>
      </c>
      <c r="D225" s="1">
        <v>0.35</v>
      </c>
    </row>
    <row r="226" spans="1:4" x14ac:dyDescent="0.25">
      <c r="A226" s="47" t="s">
        <v>199</v>
      </c>
      <c r="B226" s="48"/>
      <c r="C226" s="49"/>
      <c r="D226" s="7">
        <f>SUM(D220:D225)</f>
        <v>6.2999999999999989</v>
      </c>
    </row>
    <row r="228" spans="1:4" x14ac:dyDescent="0.25">
      <c r="A228" s="79" t="s">
        <v>93</v>
      </c>
      <c r="B228" s="1" t="s">
        <v>0</v>
      </c>
      <c r="C228" s="1" t="s">
        <v>202</v>
      </c>
      <c r="D228" s="1" t="s">
        <v>9</v>
      </c>
    </row>
    <row r="229" spans="1:4" x14ac:dyDescent="0.25">
      <c r="A229" s="80"/>
      <c r="B229" s="1" t="s">
        <v>94</v>
      </c>
      <c r="C229" s="2" t="s">
        <v>669</v>
      </c>
      <c r="D229" s="1">
        <v>4.5999999999999996</v>
      </c>
    </row>
    <row r="230" spans="1:4" x14ac:dyDescent="0.25">
      <c r="A230" s="80"/>
      <c r="B230" s="1" t="s">
        <v>70</v>
      </c>
      <c r="C230" s="3" t="s">
        <v>168</v>
      </c>
      <c r="D230" s="1">
        <v>0.2</v>
      </c>
    </row>
    <row r="231" spans="1:4" x14ac:dyDescent="0.25">
      <c r="A231" s="80"/>
      <c r="B231" s="1" t="s">
        <v>65</v>
      </c>
      <c r="C231" s="3" t="s">
        <v>167</v>
      </c>
      <c r="D231" s="1">
        <v>0.2</v>
      </c>
    </row>
    <row r="232" spans="1:4" x14ac:dyDescent="0.25">
      <c r="A232" s="80"/>
      <c r="B232" s="1" t="s">
        <v>92</v>
      </c>
      <c r="C232" s="3" t="s">
        <v>29</v>
      </c>
      <c r="D232" s="1">
        <v>0.85</v>
      </c>
    </row>
    <row r="233" spans="1:4" x14ac:dyDescent="0.25">
      <c r="A233" s="80"/>
      <c r="B233" s="1" t="s">
        <v>47</v>
      </c>
      <c r="C233" s="1"/>
      <c r="D233" s="1">
        <v>0.1</v>
      </c>
    </row>
    <row r="234" spans="1:4" x14ac:dyDescent="0.25">
      <c r="A234" s="80"/>
      <c r="B234" s="1" t="s">
        <v>56</v>
      </c>
      <c r="C234" s="1"/>
      <c r="D234" s="1">
        <v>0.7</v>
      </c>
    </row>
    <row r="235" spans="1:4" x14ac:dyDescent="0.25">
      <c r="A235" s="80"/>
      <c r="B235" s="1" t="s">
        <v>43</v>
      </c>
      <c r="C235" s="1" t="s">
        <v>29</v>
      </c>
      <c r="D235" s="1">
        <v>0.1</v>
      </c>
    </row>
    <row r="236" spans="1:4" x14ac:dyDescent="0.25">
      <c r="A236" s="80"/>
      <c r="B236" s="1" t="s">
        <v>34</v>
      </c>
      <c r="C236" s="1" t="s">
        <v>11</v>
      </c>
      <c r="D236" s="1">
        <v>0.3</v>
      </c>
    </row>
    <row r="237" spans="1:4" x14ac:dyDescent="0.25">
      <c r="A237" s="47" t="s">
        <v>199</v>
      </c>
      <c r="B237" s="48"/>
      <c r="C237" s="49"/>
      <c r="D237" s="7">
        <f>SUM(D229:D236)</f>
        <v>7.0499999999999989</v>
      </c>
    </row>
    <row r="242" spans="1:4" x14ac:dyDescent="0.25">
      <c r="A242" s="100" t="s">
        <v>88</v>
      </c>
      <c r="B242" s="1" t="s">
        <v>0</v>
      </c>
      <c r="C242" s="1" t="s">
        <v>202</v>
      </c>
      <c r="D242" s="1" t="s">
        <v>9</v>
      </c>
    </row>
    <row r="243" spans="1:4" x14ac:dyDescent="0.25">
      <c r="A243" s="100"/>
      <c r="B243" s="1" t="s">
        <v>89</v>
      </c>
      <c r="C243" s="2" t="s">
        <v>669</v>
      </c>
      <c r="D243" s="1">
        <v>5.85</v>
      </c>
    </row>
    <row r="244" spans="1:4" x14ac:dyDescent="0.25">
      <c r="A244" s="100"/>
      <c r="B244" s="1" t="s">
        <v>34</v>
      </c>
      <c r="C244" s="3" t="s">
        <v>29</v>
      </c>
      <c r="D244" s="1">
        <v>0.1</v>
      </c>
    </row>
    <row r="245" spans="1:4" x14ac:dyDescent="0.25">
      <c r="A245" s="100"/>
      <c r="B245" s="1" t="s">
        <v>65</v>
      </c>
      <c r="C245" s="3" t="s">
        <v>167</v>
      </c>
      <c r="D245" s="1">
        <v>0.2</v>
      </c>
    </row>
    <row r="246" spans="1:4" x14ac:dyDescent="0.25">
      <c r="A246" s="100"/>
      <c r="B246" s="1" t="s">
        <v>43</v>
      </c>
      <c r="C246" s="3" t="s">
        <v>167</v>
      </c>
      <c r="D246" s="1">
        <v>0.2</v>
      </c>
    </row>
    <row r="247" spans="1:4" x14ac:dyDescent="0.25">
      <c r="A247" s="100"/>
      <c r="B247" s="1" t="s">
        <v>47</v>
      </c>
      <c r="C247" s="1"/>
      <c r="D247" s="1">
        <v>0.2</v>
      </c>
    </row>
    <row r="248" spans="1:4" x14ac:dyDescent="0.25">
      <c r="A248" s="100"/>
      <c r="B248" s="1" t="s">
        <v>56</v>
      </c>
      <c r="C248" s="1"/>
      <c r="D248" s="1">
        <v>0.1</v>
      </c>
    </row>
    <row r="249" spans="1:4" x14ac:dyDescent="0.25">
      <c r="A249" s="100"/>
      <c r="B249" s="1" t="s">
        <v>62</v>
      </c>
      <c r="C249" s="1" t="s">
        <v>172</v>
      </c>
      <c r="D249" s="1">
        <v>0.35</v>
      </c>
    </row>
    <row r="250" spans="1:4" x14ac:dyDescent="0.25">
      <c r="A250" s="100"/>
      <c r="B250" s="1" t="s">
        <v>63</v>
      </c>
      <c r="C250" s="1" t="s">
        <v>12</v>
      </c>
      <c r="D250" s="1">
        <v>1.7</v>
      </c>
    </row>
    <row r="251" spans="1:4" x14ac:dyDescent="0.25">
      <c r="A251" s="47" t="s">
        <v>199</v>
      </c>
      <c r="B251" s="48"/>
      <c r="C251" s="49"/>
      <c r="D251" s="7">
        <f>SUM(D243:D250)</f>
        <v>8.6999999999999993</v>
      </c>
    </row>
    <row r="253" spans="1:4" x14ac:dyDescent="0.25">
      <c r="A253" s="109" t="s">
        <v>95</v>
      </c>
      <c r="B253" s="1" t="s">
        <v>0</v>
      </c>
      <c r="C253" s="1" t="s">
        <v>202</v>
      </c>
      <c r="D253" s="1" t="s">
        <v>9</v>
      </c>
    </row>
    <row r="254" spans="1:4" x14ac:dyDescent="0.25">
      <c r="A254" s="110"/>
      <c r="B254" s="1" t="s">
        <v>73</v>
      </c>
      <c r="C254" s="1" t="s">
        <v>215</v>
      </c>
      <c r="D254" s="1">
        <v>2.7</v>
      </c>
    </row>
    <row r="255" spans="1:4" x14ac:dyDescent="0.25">
      <c r="A255" s="110"/>
      <c r="B255" s="1" t="s">
        <v>96</v>
      </c>
      <c r="C255" s="2" t="s">
        <v>15</v>
      </c>
      <c r="D255" s="1">
        <v>1</v>
      </c>
    </row>
    <row r="256" spans="1:4" x14ac:dyDescent="0.25">
      <c r="A256" s="110"/>
      <c r="B256" s="1" t="s">
        <v>34</v>
      </c>
      <c r="C256" s="3" t="s">
        <v>11</v>
      </c>
      <c r="D256" s="1">
        <v>0.3</v>
      </c>
    </row>
    <row r="257" spans="1:4" x14ac:dyDescent="0.25">
      <c r="A257" s="110"/>
      <c r="B257" s="1" t="s">
        <v>97</v>
      </c>
      <c r="C257" s="3" t="s">
        <v>11</v>
      </c>
      <c r="D257" s="1">
        <v>0.42</v>
      </c>
    </row>
    <row r="258" spans="1:4" x14ac:dyDescent="0.25">
      <c r="A258" s="110"/>
      <c r="B258" s="1" t="s">
        <v>43</v>
      </c>
      <c r="C258" s="3" t="s">
        <v>29</v>
      </c>
      <c r="D258" s="1">
        <v>0.1</v>
      </c>
    </row>
    <row r="259" spans="1:4" x14ac:dyDescent="0.25">
      <c r="A259" s="110"/>
      <c r="B259" s="1" t="s">
        <v>65</v>
      </c>
      <c r="C259" s="1" t="s">
        <v>167</v>
      </c>
      <c r="D259" s="1">
        <v>0.2</v>
      </c>
    </row>
    <row r="260" spans="1:4" x14ac:dyDescent="0.25">
      <c r="A260" s="110"/>
      <c r="B260" s="1" t="s">
        <v>62</v>
      </c>
      <c r="C260" s="1" t="s">
        <v>172</v>
      </c>
      <c r="D260" s="1">
        <v>0.35</v>
      </c>
    </row>
    <row r="261" spans="1:4" x14ac:dyDescent="0.25">
      <c r="A261" s="110"/>
      <c r="B261" s="1" t="s">
        <v>87</v>
      </c>
      <c r="C261" s="1" t="s">
        <v>12</v>
      </c>
      <c r="D261" s="1">
        <v>0.24</v>
      </c>
    </row>
    <row r="262" spans="1:4" x14ac:dyDescent="0.25">
      <c r="A262" s="110"/>
      <c r="B262" s="1" t="s">
        <v>74</v>
      </c>
      <c r="C262" s="1" t="s">
        <v>12</v>
      </c>
      <c r="D262" s="1">
        <v>0.2</v>
      </c>
    </row>
    <row r="263" spans="1:4" x14ac:dyDescent="0.25">
      <c r="A263" s="110"/>
      <c r="B263" s="1" t="s">
        <v>63</v>
      </c>
      <c r="C263" s="1" t="s">
        <v>12</v>
      </c>
      <c r="D263" s="1">
        <v>1.7</v>
      </c>
    </row>
    <row r="264" spans="1:4" x14ac:dyDescent="0.25">
      <c r="A264" s="110"/>
      <c r="B264" s="1" t="s">
        <v>47</v>
      </c>
      <c r="C264" s="1"/>
      <c r="D264" s="1">
        <v>0.5</v>
      </c>
    </row>
    <row r="265" spans="1:4" x14ac:dyDescent="0.25">
      <c r="A265" s="111"/>
      <c r="B265" s="1" t="s">
        <v>56</v>
      </c>
      <c r="C265" s="1"/>
      <c r="D265" s="1">
        <v>0.1</v>
      </c>
    </row>
    <row r="266" spans="1:4" x14ac:dyDescent="0.25">
      <c r="A266" s="47" t="s">
        <v>216</v>
      </c>
      <c r="B266" s="48"/>
      <c r="C266" s="49"/>
      <c r="D266" s="7">
        <f>SUM(D254:D265)</f>
        <v>7.81</v>
      </c>
    </row>
    <row r="268" spans="1:4" x14ac:dyDescent="0.25">
      <c r="A268" s="106" t="s">
        <v>98</v>
      </c>
      <c r="B268" s="1" t="s">
        <v>0</v>
      </c>
      <c r="C268" s="1" t="s">
        <v>202</v>
      </c>
      <c r="D268" s="1" t="s">
        <v>9</v>
      </c>
    </row>
    <row r="269" spans="1:4" x14ac:dyDescent="0.25">
      <c r="A269" s="107"/>
      <c r="B269" s="1" t="s">
        <v>96</v>
      </c>
      <c r="C269" s="2" t="s">
        <v>15</v>
      </c>
      <c r="D269" s="1">
        <v>1</v>
      </c>
    </row>
    <row r="270" spans="1:4" x14ac:dyDescent="0.25">
      <c r="A270" s="107"/>
      <c r="B270" s="1" t="s">
        <v>77</v>
      </c>
      <c r="C270" s="2" t="s">
        <v>173</v>
      </c>
      <c r="D270" s="1"/>
    </row>
    <row r="271" spans="1:4" x14ac:dyDescent="0.25">
      <c r="A271" s="107"/>
      <c r="B271" s="1" t="s">
        <v>51</v>
      </c>
      <c r="C271" s="3" t="s">
        <v>171</v>
      </c>
      <c r="D271" s="1">
        <v>18</v>
      </c>
    </row>
    <row r="272" spans="1:4" x14ac:dyDescent="0.25">
      <c r="A272" s="107"/>
      <c r="B272" s="1" t="s">
        <v>60</v>
      </c>
      <c r="C272" s="3" t="s">
        <v>15</v>
      </c>
      <c r="D272" s="1"/>
    </row>
    <row r="273" spans="1:4" x14ac:dyDescent="0.25">
      <c r="A273" s="107"/>
      <c r="B273" s="1" t="s">
        <v>32</v>
      </c>
      <c r="C273" s="3" t="s">
        <v>171</v>
      </c>
      <c r="D273" s="1"/>
    </row>
    <row r="274" spans="1:4" x14ac:dyDescent="0.25">
      <c r="A274" s="107"/>
      <c r="B274" s="1" t="s">
        <v>99</v>
      </c>
      <c r="C274" s="1" t="s">
        <v>168</v>
      </c>
      <c r="D274" s="1">
        <v>0.57999999999999996</v>
      </c>
    </row>
    <row r="275" spans="1:4" x14ac:dyDescent="0.25">
      <c r="A275" s="107"/>
      <c r="B275" s="1" t="s">
        <v>78</v>
      </c>
      <c r="C275" s="1" t="s">
        <v>11</v>
      </c>
      <c r="D275" s="1">
        <v>0.435</v>
      </c>
    </row>
    <row r="276" spans="1:4" x14ac:dyDescent="0.25">
      <c r="A276" s="107"/>
      <c r="B276" s="1" t="s">
        <v>62</v>
      </c>
      <c r="C276" s="1" t="s">
        <v>177</v>
      </c>
      <c r="D276" s="1">
        <v>1</v>
      </c>
    </row>
    <row r="277" spans="1:4" x14ac:dyDescent="0.25">
      <c r="A277" s="107"/>
      <c r="B277" s="1" t="s">
        <v>74</v>
      </c>
      <c r="C277" s="1" t="s">
        <v>11</v>
      </c>
      <c r="D277" s="1">
        <v>0.3</v>
      </c>
    </row>
    <row r="278" spans="1:4" x14ac:dyDescent="0.25">
      <c r="A278" s="107"/>
      <c r="B278" s="1" t="s">
        <v>63</v>
      </c>
      <c r="C278" s="1" t="s">
        <v>12</v>
      </c>
      <c r="D278" s="1">
        <v>1.7</v>
      </c>
    </row>
    <row r="279" spans="1:4" x14ac:dyDescent="0.25">
      <c r="A279" s="107"/>
      <c r="B279" s="1" t="s">
        <v>65</v>
      </c>
      <c r="C279" s="1" t="s">
        <v>167</v>
      </c>
      <c r="D279" s="1">
        <v>0.2</v>
      </c>
    </row>
    <row r="280" spans="1:4" x14ac:dyDescent="0.25">
      <c r="A280" s="108"/>
      <c r="B280" s="1" t="s">
        <v>47</v>
      </c>
      <c r="C280" s="1"/>
      <c r="D280" s="1">
        <v>0.2</v>
      </c>
    </row>
    <row r="281" spans="1:4" x14ac:dyDescent="0.25">
      <c r="A281" s="47" t="s">
        <v>216</v>
      </c>
      <c r="B281" s="48"/>
      <c r="C281" s="49"/>
      <c r="D281" s="7">
        <f>SUM(D269:D280)</f>
        <v>23.414999999999996</v>
      </c>
    </row>
    <row r="292" spans="1:4" x14ac:dyDescent="0.25">
      <c r="A292" s="114" t="s">
        <v>100</v>
      </c>
      <c r="B292" s="1" t="s">
        <v>0</v>
      </c>
      <c r="C292" s="1" t="s">
        <v>202</v>
      </c>
      <c r="D292" s="1" t="s">
        <v>9</v>
      </c>
    </row>
    <row r="293" spans="1:4" x14ac:dyDescent="0.25">
      <c r="A293" s="115"/>
      <c r="B293" s="1" t="s">
        <v>96</v>
      </c>
      <c r="C293" s="2" t="s">
        <v>15</v>
      </c>
      <c r="D293" s="1">
        <v>1</v>
      </c>
    </row>
    <row r="294" spans="1:4" x14ac:dyDescent="0.25">
      <c r="A294" s="115"/>
      <c r="B294" s="1" t="s">
        <v>51</v>
      </c>
      <c r="C294" s="3" t="s">
        <v>165</v>
      </c>
      <c r="D294" s="1">
        <v>13</v>
      </c>
    </row>
    <row r="295" spans="1:4" x14ac:dyDescent="0.25">
      <c r="A295" s="115"/>
      <c r="B295" s="1" t="s">
        <v>34</v>
      </c>
      <c r="C295" s="3" t="s">
        <v>11</v>
      </c>
      <c r="D295" s="1">
        <v>0.3</v>
      </c>
    </row>
    <row r="296" spans="1:4" x14ac:dyDescent="0.25">
      <c r="A296" s="115"/>
      <c r="B296" s="1" t="s">
        <v>65</v>
      </c>
      <c r="C296" s="1" t="s">
        <v>168</v>
      </c>
      <c r="D296" s="1">
        <v>0.5</v>
      </c>
    </row>
    <row r="297" spans="1:4" x14ac:dyDescent="0.25">
      <c r="A297" s="115"/>
      <c r="B297" s="1" t="s">
        <v>43</v>
      </c>
      <c r="C297" s="1" t="s">
        <v>29</v>
      </c>
      <c r="D297" s="1">
        <v>0.1</v>
      </c>
    </row>
    <row r="298" spans="1:4" x14ac:dyDescent="0.25">
      <c r="A298" s="115"/>
      <c r="B298" s="1" t="s">
        <v>63</v>
      </c>
      <c r="C298" s="1" t="s">
        <v>12</v>
      </c>
      <c r="D298" s="1">
        <v>1.7</v>
      </c>
    </row>
    <row r="299" spans="1:4" x14ac:dyDescent="0.25">
      <c r="A299" s="115"/>
      <c r="B299" s="1" t="s">
        <v>74</v>
      </c>
      <c r="C299" s="1" t="s">
        <v>11</v>
      </c>
      <c r="D299" s="1">
        <v>0.3</v>
      </c>
    </row>
    <row r="300" spans="1:4" x14ac:dyDescent="0.25">
      <c r="A300" s="115"/>
      <c r="B300" s="1" t="s">
        <v>37</v>
      </c>
      <c r="C300" s="1" t="s">
        <v>178</v>
      </c>
      <c r="D300" s="1">
        <v>0.5</v>
      </c>
    </row>
    <row r="301" spans="1:4" x14ac:dyDescent="0.25">
      <c r="A301" s="115"/>
      <c r="B301" s="1" t="s">
        <v>83</v>
      </c>
      <c r="C301" s="1" t="s">
        <v>167</v>
      </c>
      <c r="D301" s="1">
        <v>0.6</v>
      </c>
    </row>
    <row r="302" spans="1:4" x14ac:dyDescent="0.25">
      <c r="A302" s="115"/>
      <c r="B302" s="1" t="s">
        <v>101</v>
      </c>
      <c r="C302" s="1" t="s">
        <v>29</v>
      </c>
      <c r="D302" s="1">
        <v>1</v>
      </c>
    </row>
    <row r="303" spans="1:4" x14ac:dyDescent="0.25">
      <c r="A303" s="116"/>
      <c r="B303" s="1" t="s">
        <v>47</v>
      </c>
      <c r="C303" s="1"/>
      <c r="D303" s="1">
        <v>0.2</v>
      </c>
    </row>
    <row r="304" spans="1:4" x14ac:dyDescent="0.25">
      <c r="A304" s="47" t="s">
        <v>216</v>
      </c>
      <c r="B304" s="48"/>
      <c r="C304" s="49"/>
      <c r="D304" s="7">
        <f>SUM(D293:D303)</f>
        <v>19.200000000000003</v>
      </c>
    </row>
    <row r="306" spans="1:4" x14ac:dyDescent="0.25">
      <c r="A306" s="112" t="s">
        <v>102</v>
      </c>
      <c r="B306" s="1" t="s">
        <v>0</v>
      </c>
      <c r="C306" s="1" t="s">
        <v>202</v>
      </c>
      <c r="D306" s="1" t="s">
        <v>9</v>
      </c>
    </row>
    <row r="307" spans="1:4" x14ac:dyDescent="0.25">
      <c r="A307" s="113"/>
      <c r="B307" s="1" t="s">
        <v>96</v>
      </c>
      <c r="C307" s="2" t="s">
        <v>15</v>
      </c>
      <c r="D307" s="1">
        <v>1</v>
      </c>
    </row>
    <row r="308" spans="1:4" x14ac:dyDescent="0.25">
      <c r="A308" s="113"/>
      <c r="B308" s="1" t="s">
        <v>51</v>
      </c>
      <c r="C308" s="3" t="s">
        <v>10</v>
      </c>
      <c r="D308" s="1">
        <v>6.5</v>
      </c>
    </row>
    <row r="309" spans="1:4" x14ac:dyDescent="0.25">
      <c r="A309" s="113"/>
      <c r="B309" s="1" t="s">
        <v>60</v>
      </c>
      <c r="C309" s="3" t="s">
        <v>10</v>
      </c>
      <c r="D309" s="1">
        <v>6</v>
      </c>
    </row>
    <row r="310" spans="1:4" x14ac:dyDescent="0.25">
      <c r="A310" s="113"/>
      <c r="B310" s="1" t="s">
        <v>103</v>
      </c>
      <c r="C310" s="3" t="s">
        <v>168</v>
      </c>
      <c r="D310" s="1">
        <v>3</v>
      </c>
    </row>
    <row r="311" spans="1:4" x14ac:dyDescent="0.25">
      <c r="A311" s="113"/>
      <c r="B311" s="1" t="s">
        <v>62</v>
      </c>
      <c r="C311" s="1" t="s">
        <v>175</v>
      </c>
      <c r="D311" s="1">
        <v>0.69</v>
      </c>
    </row>
    <row r="312" spans="1:4" x14ac:dyDescent="0.25">
      <c r="A312" s="113"/>
      <c r="B312" s="1" t="s">
        <v>104</v>
      </c>
      <c r="C312" s="1" t="s">
        <v>11</v>
      </c>
      <c r="D312" s="1">
        <v>0.3</v>
      </c>
    </row>
    <row r="313" spans="1:4" x14ac:dyDescent="0.25">
      <c r="A313" s="113"/>
      <c r="B313" s="1" t="s">
        <v>63</v>
      </c>
      <c r="C313" s="1" t="s">
        <v>12</v>
      </c>
      <c r="D313" s="1">
        <v>1.7</v>
      </c>
    </row>
    <row r="314" spans="1:4" x14ac:dyDescent="0.25">
      <c r="A314" s="113"/>
      <c r="B314" s="1" t="s">
        <v>47</v>
      </c>
      <c r="C314" s="1"/>
      <c r="D314" s="1">
        <v>0.2</v>
      </c>
    </row>
    <row r="315" spans="1:4" x14ac:dyDescent="0.25">
      <c r="A315" s="113"/>
      <c r="B315" s="1" t="s">
        <v>65</v>
      </c>
      <c r="C315" s="1" t="s">
        <v>167</v>
      </c>
      <c r="D315" s="1">
        <v>0.2</v>
      </c>
    </row>
    <row r="316" spans="1:4" x14ac:dyDescent="0.25">
      <c r="A316" s="47" t="s">
        <v>216</v>
      </c>
      <c r="B316" s="48"/>
      <c r="C316" s="49"/>
      <c r="D316" s="7">
        <f>SUM(D307:D315)</f>
        <v>19.59</v>
      </c>
    </row>
    <row r="318" spans="1:4" x14ac:dyDescent="0.25">
      <c r="A318" s="79" t="s">
        <v>105</v>
      </c>
      <c r="B318" s="1" t="s">
        <v>0</v>
      </c>
      <c r="C318" s="1" t="s">
        <v>202</v>
      </c>
      <c r="D318" s="1" t="s">
        <v>9</v>
      </c>
    </row>
    <row r="319" spans="1:4" x14ac:dyDescent="0.25">
      <c r="A319" s="80"/>
      <c r="B319" s="1" t="s">
        <v>45</v>
      </c>
      <c r="C319" s="2" t="s">
        <v>169</v>
      </c>
      <c r="D319" s="1">
        <v>3.85</v>
      </c>
    </row>
    <row r="320" spans="1:4" x14ac:dyDescent="0.25">
      <c r="A320" s="80"/>
      <c r="B320" s="1" t="s">
        <v>106</v>
      </c>
      <c r="C320" s="3" t="s">
        <v>180</v>
      </c>
      <c r="D320" s="1">
        <v>0.35</v>
      </c>
    </row>
    <row r="321" spans="1:4" x14ac:dyDescent="0.25">
      <c r="A321" s="80"/>
      <c r="B321" s="1" t="s">
        <v>107</v>
      </c>
      <c r="C321" s="3" t="s">
        <v>10</v>
      </c>
      <c r="D321" s="1">
        <v>0.68</v>
      </c>
    </row>
    <row r="322" spans="1:4" x14ac:dyDescent="0.25">
      <c r="A322" s="80"/>
      <c r="B322" s="1" t="s">
        <v>108</v>
      </c>
      <c r="C322" s="3" t="s">
        <v>13</v>
      </c>
      <c r="D322" s="1">
        <v>1.5</v>
      </c>
    </row>
    <row r="323" spans="1:4" x14ac:dyDescent="0.25">
      <c r="A323" s="80"/>
      <c r="B323" s="1" t="s">
        <v>109</v>
      </c>
      <c r="C323" s="1" t="s">
        <v>12</v>
      </c>
      <c r="D323" s="1">
        <v>0.3</v>
      </c>
    </row>
    <row r="324" spans="1:4" x14ac:dyDescent="0.25">
      <c r="A324" s="80"/>
      <c r="B324" s="1" t="s">
        <v>110</v>
      </c>
      <c r="C324" s="1" t="s">
        <v>12</v>
      </c>
      <c r="D324" s="1">
        <v>0.44</v>
      </c>
    </row>
    <row r="325" spans="1:4" x14ac:dyDescent="0.25">
      <c r="A325" s="80"/>
      <c r="B325" s="1" t="s">
        <v>111</v>
      </c>
      <c r="C325" s="1" t="s">
        <v>29</v>
      </c>
      <c r="D325" s="1">
        <v>0.22</v>
      </c>
    </row>
    <row r="326" spans="1:4" x14ac:dyDescent="0.25">
      <c r="A326" s="80"/>
      <c r="B326" s="1" t="s">
        <v>112</v>
      </c>
      <c r="C326" s="1" t="s">
        <v>10</v>
      </c>
      <c r="D326" s="1">
        <v>1.2</v>
      </c>
    </row>
    <row r="327" spans="1:4" x14ac:dyDescent="0.25">
      <c r="A327" s="80"/>
      <c r="B327" s="1" t="s">
        <v>47</v>
      </c>
      <c r="C327" s="1"/>
      <c r="D327" s="1">
        <v>0.5</v>
      </c>
    </row>
    <row r="328" spans="1:4" x14ac:dyDescent="0.25">
      <c r="A328" s="80"/>
      <c r="B328" s="1" t="s">
        <v>49</v>
      </c>
      <c r="C328" s="1"/>
      <c r="D328" s="1">
        <v>0.1</v>
      </c>
    </row>
    <row r="329" spans="1:4" x14ac:dyDescent="0.25">
      <c r="A329" s="47" t="s">
        <v>216</v>
      </c>
      <c r="B329" s="48"/>
      <c r="C329" s="49"/>
      <c r="D329" s="7">
        <f>SUM(D319:D328)</f>
        <v>9.1399999999999988</v>
      </c>
    </row>
    <row r="342" spans="1:4" x14ac:dyDescent="0.25">
      <c r="A342" s="79" t="s">
        <v>113</v>
      </c>
      <c r="B342" s="1" t="s">
        <v>0</v>
      </c>
      <c r="C342" s="1" t="s">
        <v>202</v>
      </c>
      <c r="D342" s="1" t="s">
        <v>9</v>
      </c>
    </row>
    <row r="343" spans="1:4" x14ac:dyDescent="0.25">
      <c r="A343" s="80"/>
      <c r="B343" s="1" t="s">
        <v>45</v>
      </c>
      <c r="C343" s="2" t="s">
        <v>169</v>
      </c>
      <c r="D343" s="1">
        <v>3.85</v>
      </c>
    </row>
    <row r="344" spans="1:4" x14ac:dyDescent="0.25">
      <c r="A344" s="80"/>
      <c r="B344" s="1" t="s">
        <v>106</v>
      </c>
      <c r="C344" s="3" t="s">
        <v>180</v>
      </c>
      <c r="D344" s="1">
        <v>0.35</v>
      </c>
    </row>
    <row r="345" spans="1:4" x14ac:dyDescent="0.25">
      <c r="A345" s="80"/>
      <c r="B345" s="1" t="s">
        <v>107</v>
      </c>
      <c r="C345" s="3" t="s">
        <v>10</v>
      </c>
      <c r="D345" s="1">
        <v>0.68</v>
      </c>
    </row>
    <row r="346" spans="1:4" x14ac:dyDescent="0.25">
      <c r="A346" s="80"/>
      <c r="B346" s="1" t="s">
        <v>108</v>
      </c>
      <c r="C346" s="3" t="s">
        <v>13</v>
      </c>
      <c r="D346" s="1">
        <v>1.5</v>
      </c>
    </row>
    <row r="347" spans="1:4" x14ac:dyDescent="0.25">
      <c r="A347" s="80"/>
      <c r="B347" s="1" t="s">
        <v>109</v>
      </c>
      <c r="C347" s="1" t="s">
        <v>12</v>
      </c>
      <c r="D347" s="1">
        <v>0.3</v>
      </c>
    </row>
    <row r="348" spans="1:4" x14ac:dyDescent="0.25">
      <c r="A348" s="80"/>
      <c r="B348" s="1" t="s">
        <v>110</v>
      </c>
      <c r="C348" s="1" t="s">
        <v>12</v>
      </c>
      <c r="D348" s="1">
        <v>0.44</v>
      </c>
    </row>
    <row r="349" spans="1:4" x14ac:dyDescent="0.25">
      <c r="A349" s="80"/>
      <c r="B349" s="1" t="s">
        <v>111</v>
      </c>
      <c r="C349" s="1" t="s">
        <v>29</v>
      </c>
      <c r="D349" s="1">
        <v>0.22</v>
      </c>
    </row>
    <row r="350" spans="1:4" x14ac:dyDescent="0.25">
      <c r="A350" s="80"/>
      <c r="B350" s="1" t="s">
        <v>112</v>
      </c>
      <c r="C350" s="1" t="s">
        <v>10</v>
      </c>
      <c r="D350" s="1">
        <v>1.2</v>
      </c>
    </row>
    <row r="351" spans="1:4" x14ac:dyDescent="0.25">
      <c r="A351" s="80"/>
      <c r="B351" s="1" t="s">
        <v>47</v>
      </c>
      <c r="C351" s="1"/>
      <c r="D351" s="1">
        <v>0.3</v>
      </c>
    </row>
    <row r="352" spans="1:4" x14ac:dyDescent="0.25">
      <c r="A352" s="80"/>
      <c r="B352" s="1" t="s">
        <v>62</v>
      </c>
      <c r="C352" s="1" t="s">
        <v>172</v>
      </c>
      <c r="D352" s="1">
        <v>0.34499999999999997</v>
      </c>
    </row>
    <row r="353" spans="1:4" x14ac:dyDescent="0.25">
      <c r="A353" s="80"/>
      <c r="B353" s="1" t="s">
        <v>74</v>
      </c>
      <c r="C353" s="1" t="s">
        <v>12</v>
      </c>
      <c r="D353" s="1">
        <v>0.2</v>
      </c>
    </row>
    <row r="354" spans="1:4" x14ac:dyDescent="0.25">
      <c r="A354" s="80"/>
      <c r="B354" s="1" t="s">
        <v>63</v>
      </c>
      <c r="C354" s="1" t="s">
        <v>12</v>
      </c>
      <c r="D354" s="1">
        <v>1.7</v>
      </c>
    </row>
    <row r="355" spans="1:4" x14ac:dyDescent="0.25">
      <c r="A355" s="80"/>
      <c r="B355" s="1" t="s">
        <v>65</v>
      </c>
      <c r="C355" s="1" t="s">
        <v>167</v>
      </c>
      <c r="D355" s="1">
        <v>0.2</v>
      </c>
    </row>
    <row r="356" spans="1:4" x14ac:dyDescent="0.25">
      <c r="A356" s="81"/>
      <c r="B356" s="1" t="s">
        <v>87</v>
      </c>
      <c r="C356" s="1" t="s">
        <v>11</v>
      </c>
      <c r="D356" s="1">
        <v>0.36</v>
      </c>
    </row>
    <row r="357" spans="1:4" x14ac:dyDescent="0.25">
      <c r="A357" s="47" t="s">
        <v>216</v>
      </c>
      <c r="B357" s="48"/>
      <c r="C357" s="49"/>
      <c r="D357" s="7">
        <f>SUM(D343:D356)</f>
        <v>11.644999999999998</v>
      </c>
    </row>
    <row r="359" spans="1:4" x14ac:dyDescent="0.25">
      <c r="A359" s="79" t="s">
        <v>114</v>
      </c>
      <c r="B359" s="1" t="s">
        <v>0</v>
      </c>
      <c r="C359" s="1" t="s">
        <v>202</v>
      </c>
      <c r="D359" s="1" t="s">
        <v>9</v>
      </c>
    </row>
    <row r="360" spans="1:4" x14ac:dyDescent="0.25">
      <c r="A360" s="80"/>
      <c r="B360" s="1" t="s">
        <v>45</v>
      </c>
      <c r="C360" s="2" t="s">
        <v>169</v>
      </c>
      <c r="D360" s="1">
        <v>3.85</v>
      </c>
    </row>
    <row r="361" spans="1:4" x14ac:dyDescent="0.25">
      <c r="A361" s="80"/>
      <c r="B361" s="1" t="s">
        <v>106</v>
      </c>
      <c r="C361" s="3" t="s">
        <v>180</v>
      </c>
      <c r="D361" s="1">
        <v>0.35</v>
      </c>
    </row>
    <row r="362" spans="1:4" x14ac:dyDescent="0.25">
      <c r="A362" s="80"/>
      <c r="B362" s="1" t="s">
        <v>107</v>
      </c>
      <c r="C362" s="3" t="s">
        <v>10</v>
      </c>
      <c r="D362" s="1">
        <v>0.68</v>
      </c>
    </row>
    <row r="363" spans="1:4" x14ac:dyDescent="0.25">
      <c r="A363" s="80"/>
      <c r="B363" s="1" t="s">
        <v>108</v>
      </c>
      <c r="C363" s="3" t="s">
        <v>13</v>
      </c>
      <c r="D363" s="1">
        <v>1.5</v>
      </c>
    </row>
    <row r="364" spans="1:4" x14ac:dyDescent="0.25">
      <c r="A364" s="80"/>
      <c r="B364" s="1" t="s">
        <v>109</v>
      </c>
      <c r="C364" s="1" t="s">
        <v>12</v>
      </c>
      <c r="D364" s="1">
        <v>0.3</v>
      </c>
    </row>
    <row r="365" spans="1:4" x14ac:dyDescent="0.25">
      <c r="A365" s="80"/>
      <c r="B365" s="1" t="s">
        <v>110</v>
      </c>
      <c r="C365" s="1" t="s">
        <v>12</v>
      </c>
      <c r="D365" s="1">
        <v>0.44</v>
      </c>
    </row>
    <row r="366" spans="1:4" x14ac:dyDescent="0.25">
      <c r="A366" s="80"/>
      <c r="B366" s="1" t="s">
        <v>111</v>
      </c>
      <c r="C366" s="1" t="s">
        <v>29</v>
      </c>
      <c r="D366" s="1">
        <v>0.22</v>
      </c>
    </row>
    <row r="367" spans="1:4" x14ac:dyDescent="0.25">
      <c r="A367" s="80"/>
      <c r="B367" s="1" t="s">
        <v>112</v>
      </c>
      <c r="C367" s="1" t="s">
        <v>10</v>
      </c>
      <c r="D367" s="1">
        <v>1.2</v>
      </c>
    </row>
    <row r="368" spans="1:4" x14ac:dyDescent="0.25">
      <c r="A368" s="80"/>
      <c r="B368" s="1" t="s">
        <v>47</v>
      </c>
      <c r="C368" s="1"/>
      <c r="D368" s="1">
        <v>0.1</v>
      </c>
    </row>
    <row r="369" spans="1:4" x14ac:dyDescent="0.25">
      <c r="A369" s="80"/>
      <c r="B369" s="1" t="s">
        <v>49</v>
      </c>
      <c r="C369" s="1"/>
      <c r="D369" s="1">
        <v>0.1</v>
      </c>
    </row>
    <row r="370" spans="1:4" x14ac:dyDescent="0.25">
      <c r="A370" s="80"/>
      <c r="B370" s="1" t="s">
        <v>115</v>
      </c>
      <c r="C370" s="1" t="s">
        <v>13</v>
      </c>
      <c r="D370" s="1">
        <v>0.5</v>
      </c>
    </row>
    <row r="371" spans="1:4" x14ac:dyDescent="0.25">
      <c r="A371" s="80"/>
      <c r="B371" s="1" t="s">
        <v>48</v>
      </c>
      <c r="C371" s="1"/>
      <c r="D371" s="1">
        <v>1</v>
      </c>
    </row>
    <row r="372" spans="1:4" x14ac:dyDescent="0.25">
      <c r="A372" s="80"/>
      <c r="B372" s="1" t="s">
        <v>56</v>
      </c>
      <c r="C372" s="1"/>
      <c r="D372" s="1">
        <v>0.1</v>
      </c>
    </row>
    <row r="373" spans="1:4" x14ac:dyDescent="0.25">
      <c r="A373" s="47" t="s">
        <v>216</v>
      </c>
      <c r="B373" s="48"/>
      <c r="C373" s="49"/>
      <c r="D373" s="7">
        <f>SUM(D360:D372)</f>
        <v>10.339999999999998</v>
      </c>
    </row>
    <row r="394" spans="1:4" x14ac:dyDescent="0.25">
      <c r="A394" s="79" t="s">
        <v>116</v>
      </c>
      <c r="B394" s="1" t="s">
        <v>0</v>
      </c>
      <c r="C394" s="1" t="s">
        <v>202</v>
      </c>
      <c r="D394" s="1" t="s">
        <v>9</v>
      </c>
    </row>
    <row r="395" spans="1:4" x14ac:dyDescent="0.25">
      <c r="A395" s="80"/>
      <c r="B395" s="1" t="s">
        <v>45</v>
      </c>
      <c r="C395" s="2" t="s">
        <v>181</v>
      </c>
      <c r="D395" s="1">
        <v>4.375</v>
      </c>
    </row>
    <row r="396" spans="1:4" x14ac:dyDescent="0.25">
      <c r="A396" s="80"/>
      <c r="B396" s="1" t="s">
        <v>106</v>
      </c>
      <c r="C396" s="3" t="s">
        <v>180</v>
      </c>
      <c r="D396" s="1">
        <v>0.35</v>
      </c>
    </row>
    <row r="397" spans="1:4" x14ac:dyDescent="0.25">
      <c r="A397" s="80"/>
      <c r="B397" s="1" t="s">
        <v>107</v>
      </c>
      <c r="C397" s="3" t="s">
        <v>10</v>
      </c>
      <c r="D397" s="1">
        <v>0.68</v>
      </c>
    </row>
    <row r="398" spans="1:4" x14ac:dyDescent="0.25">
      <c r="A398" s="80"/>
      <c r="B398" s="1" t="s">
        <v>108</v>
      </c>
      <c r="C398" s="3" t="s">
        <v>13</v>
      </c>
      <c r="D398" s="1">
        <v>1.5</v>
      </c>
    </row>
    <row r="399" spans="1:4" x14ac:dyDescent="0.25">
      <c r="A399" s="80"/>
      <c r="B399" s="1" t="s">
        <v>109</v>
      </c>
      <c r="C399" s="1" t="s">
        <v>12</v>
      </c>
      <c r="D399" s="1">
        <v>0.3</v>
      </c>
    </row>
    <row r="400" spans="1:4" x14ac:dyDescent="0.25">
      <c r="A400" s="80"/>
      <c r="B400" s="1" t="s">
        <v>110</v>
      </c>
      <c r="C400" s="1" t="s">
        <v>12</v>
      </c>
      <c r="D400" s="1">
        <v>0.44</v>
      </c>
    </row>
    <row r="401" spans="1:4" x14ac:dyDescent="0.25">
      <c r="A401" s="80"/>
      <c r="B401" s="1" t="s">
        <v>111</v>
      </c>
      <c r="C401" s="1" t="s">
        <v>29</v>
      </c>
      <c r="D401" s="1">
        <v>0.22</v>
      </c>
    </row>
    <row r="402" spans="1:4" x14ac:dyDescent="0.25">
      <c r="A402" s="80"/>
      <c r="B402" s="1" t="s">
        <v>112</v>
      </c>
      <c r="C402" s="1" t="s">
        <v>10</v>
      </c>
      <c r="D402" s="1">
        <v>1.2</v>
      </c>
    </row>
    <row r="403" spans="1:4" x14ac:dyDescent="0.25">
      <c r="A403" s="80"/>
      <c r="B403" s="1" t="s">
        <v>47</v>
      </c>
      <c r="C403" s="1"/>
      <c r="D403" s="1">
        <v>0.5</v>
      </c>
    </row>
    <row r="404" spans="1:4" x14ac:dyDescent="0.25">
      <c r="A404" s="80"/>
      <c r="B404" s="1" t="s">
        <v>62</v>
      </c>
      <c r="C404" s="1" t="s">
        <v>172</v>
      </c>
      <c r="D404" s="1">
        <v>0.34499999999999997</v>
      </c>
    </row>
    <row r="405" spans="1:4" x14ac:dyDescent="0.25">
      <c r="A405" s="80"/>
      <c r="B405" s="1" t="s">
        <v>117</v>
      </c>
      <c r="C405" s="1" t="s">
        <v>168</v>
      </c>
      <c r="D405" s="1">
        <v>0.48</v>
      </c>
    </row>
    <row r="406" spans="1:4" x14ac:dyDescent="0.25">
      <c r="A406" s="80"/>
      <c r="B406" s="1" t="s">
        <v>40</v>
      </c>
      <c r="C406" s="1" t="s">
        <v>29</v>
      </c>
      <c r="D406" s="1">
        <v>0.2</v>
      </c>
    </row>
    <row r="407" spans="1:4" x14ac:dyDescent="0.25">
      <c r="A407" s="80"/>
      <c r="B407" s="1" t="s">
        <v>41</v>
      </c>
      <c r="C407" s="1" t="s">
        <v>29</v>
      </c>
      <c r="D407" s="1">
        <v>0.1</v>
      </c>
    </row>
    <row r="408" spans="1:4" x14ac:dyDescent="0.25">
      <c r="A408" s="80"/>
      <c r="B408" s="1" t="s">
        <v>118</v>
      </c>
      <c r="C408" s="1" t="s">
        <v>167</v>
      </c>
      <c r="D408" s="1">
        <v>0.42499999999999999</v>
      </c>
    </row>
    <row r="409" spans="1:4" x14ac:dyDescent="0.25">
      <c r="A409" s="80"/>
      <c r="B409" s="1" t="s">
        <v>74</v>
      </c>
      <c r="C409" s="1" t="s">
        <v>11</v>
      </c>
      <c r="D409" s="1">
        <v>0.3</v>
      </c>
    </row>
    <row r="410" spans="1:4" x14ac:dyDescent="0.25">
      <c r="A410" s="80"/>
      <c r="B410" s="1" t="s">
        <v>63</v>
      </c>
      <c r="C410" s="1" t="s">
        <v>12</v>
      </c>
      <c r="D410" s="1">
        <v>1.7</v>
      </c>
    </row>
    <row r="411" spans="1:4" x14ac:dyDescent="0.25">
      <c r="A411" s="81"/>
      <c r="B411" s="1" t="s">
        <v>65</v>
      </c>
      <c r="C411" s="1" t="s">
        <v>167</v>
      </c>
      <c r="D411" s="1">
        <v>0.2</v>
      </c>
    </row>
    <row r="412" spans="1:4" x14ac:dyDescent="0.25">
      <c r="A412" s="47" t="s">
        <v>216</v>
      </c>
      <c r="B412" s="48"/>
      <c r="C412" s="49"/>
      <c r="D412" s="7">
        <f>SUM(D395:D411)</f>
        <v>13.315</v>
      </c>
    </row>
    <row r="414" spans="1:4" x14ac:dyDescent="0.25">
      <c r="A414" s="117" t="s">
        <v>119</v>
      </c>
      <c r="B414" s="1" t="s">
        <v>0</v>
      </c>
      <c r="C414" s="1" t="s">
        <v>202</v>
      </c>
      <c r="D414" s="1" t="s">
        <v>9</v>
      </c>
    </row>
    <row r="415" spans="1:4" x14ac:dyDescent="0.25">
      <c r="A415" s="80"/>
      <c r="B415" s="1" t="s">
        <v>45</v>
      </c>
      <c r="C415" s="2" t="s">
        <v>181</v>
      </c>
      <c r="D415" s="1">
        <v>4.375</v>
      </c>
    </row>
    <row r="416" spans="1:4" x14ac:dyDescent="0.25">
      <c r="A416" s="80"/>
      <c r="B416" s="1" t="s">
        <v>106</v>
      </c>
      <c r="C416" s="3" t="s">
        <v>180</v>
      </c>
      <c r="D416" s="1">
        <v>0.35</v>
      </c>
    </row>
    <row r="417" spans="1:4" x14ac:dyDescent="0.25">
      <c r="A417" s="80"/>
      <c r="B417" s="1" t="s">
        <v>107</v>
      </c>
      <c r="C417" s="3" t="s">
        <v>10</v>
      </c>
      <c r="D417" s="1">
        <v>0.68</v>
      </c>
    </row>
    <row r="418" spans="1:4" x14ac:dyDescent="0.25">
      <c r="A418" s="80"/>
      <c r="B418" s="1" t="s">
        <v>108</v>
      </c>
      <c r="C418" s="3" t="s">
        <v>13</v>
      </c>
      <c r="D418" s="1">
        <v>1.5</v>
      </c>
    </row>
    <row r="419" spans="1:4" x14ac:dyDescent="0.25">
      <c r="A419" s="80"/>
      <c r="B419" s="1" t="s">
        <v>109</v>
      </c>
      <c r="C419" s="1" t="s">
        <v>12</v>
      </c>
      <c r="D419" s="1">
        <v>0.3</v>
      </c>
    </row>
    <row r="420" spans="1:4" x14ac:dyDescent="0.25">
      <c r="A420" s="80"/>
      <c r="B420" s="1" t="s">
        <v>110</v>
      </c>
      <c r="C420" s="1" t="s">
        <v>12</v>
      </c>
      <c r="D420" s="1">
        <v>0.44</v>
      </c>
    </row>
    <row r="421" spans="1:4" x14ac:dyDescent="0.25">
      <c r="A421" s="80"/>
      <c r="B421" s="1" t="s">
        <v>111</v>
      </c>
      <c r="C421" s="1" t="s">
        <v>29</v>
      </c>
      <c r="D421" s="1">
        <v>0.22</v>
      </c>
    </row>
    <row r="422" spans="1:4" x14ac:dyDescent="0.25">
      <c r="A422" s="80"/>
      <c r="B422" s="1" t="s">
        <v>112</v>
      </c>
      <c r="C422" s="1" t="s">
        <v>10</v>
      </c>
      <c r="D422" s="1">
        <v>1.5</v>
      </c>
    </row>
    <row r="423" spans="1:4" x14ac:dyDescent="0.25">
      <c r="A423" s="80"/>
      <c r="B423" s="1" t="s">
        <v>47</v>
      </c>
      <c r="C423" s="1"/>
      <c r="D423" s="1">
        <v>0.2</v>
      </c>
    </row>
    <row r="424" spans="1:4" x14ac:dyDescent="0.25">
      <c r="A424" s="80"/>
      <c r="B424" s="1" t="s">
        <v>62</v>
      </c>
      <c r="C424" s="1" t="s">
        <v>178</v>
      </c>
      <c r="D424" s="1">
        <v>0.25</v>
      </c>
    </row>
    <row r="425" spans="1:4" x14ac:dyDescent="0.25">
      <c r="A425" s="80"/>
      <c r="B425" s="1" t="s">
        <v>117</v>
      </c>
      <c r="C425" s="1" t="s">
        <v>12</v>
      </c>
      <c r="D425" s="1">
        <v>0.24</v>
      </c>
    </row>
    <row r="426" spans="1:4" x14ac:dyDescent="0.25">
      <c r="A426" s="80"/>
      <c r="B426" s="1" t="s">
        <v>64</v>
      </c>
      <c r="C426" s="1" t="s">
        <v>12</v>
      </c>
      <c r="D426" s="1">
        <v>0.55000000000000004</v>
      </c>
    </row>
    <row r="427" spans="1:4" x14ac:dyDescent="0.25">
      <c r="A427" s="80"/>
      <c r="B427" s="1" t="s">
        <v>120</v>
      </c>
      <c r="C427" s="1" t="s">
        <v>12</v>
      </c>
      <c r="D427" s="1">
        <v>0.43099999999999999</v>
      </c>
    </row>
    <row r="428" spans="1:4" x14ac:dyDescent="0.25">
      <c r="A428" s="80"/>
      <c r="B428" s="1" t="s">
        <v>63</v>
      </c>
      <c r="C428" s="1" t="s">
        <v>12</v>
      </c>
      <c r="D428" s="1">
        <v>1.7</v>
      </c>
    </row>
    <row r="429" spans="1:4" x14ac:dyDescent="0.25">
      <c r="A429" s="81"/>
      <c r="B429" s="1" t="s">
        <v>65</v>
      </c>
      <c r="C429" s="1" t="s">
        <v>167</v>
      </c>
      <c r="D429" s="1">
        <v>0.2</v>
      </c>
    </row>
    <row r="430" spans="1:4" x14ac:dyDescent="0.25">
      <c r="A430" s="47" t="s">
        <v>216</v>
      </c>
      <c r="B430" s="48"/>
      <c r="C430" s="49"/>
      <c r="D430" s="7">
        <f>SUM(D415:D429)</f>
        <v>12.935999999999996</v>
      </c>
    </row>
    <row r="442" spans="1:4" x14ac:dyDescent="0.25">
      <c r="A442" s="118" t="s">
        <v>121</v>
      </c>
      <c r="B442" s="1" t="s">
        <v>0</v>
      </c>
      <c r="C442" s="1" t="s">
        <v>202</v>
      </c>
      <c r="D442" s="1" t="s">
        <v>9</v>
      </c>
    </row>
    <row r="443" spans="1:4" x14ac:dyDescent="0.25">
      <c r="A443" s="118"/>
      <c r="B443" s="1" t="s">
        <v>122</v>
      </c>
      <c r="C443" s="2" t="s">
        <v>169</v>
      </c>
      <c r="D443" s="1">
        <v>12.1</v>
      </c>
    </row>
    <row r="444" spans="1:4" x14ac:dyDescent="0.25">
      <c r="A444" s="118"/>
      <c r="B444" s="1" t="s">
        <v>106</v>
      </c>
      <c r="C444" s="3" t="s">
        <v>180</v>
      </c>
      <c r="D444" s="1">
        <v>0.35</v>
      </c>
    </row>
    <row r="445" spans="1:4" x14ac:dyDescent="0.25">
      <c r="A445" s="118"/>
      <c r="B445" s="1" t="s">
        <v>107</v>
      </c>
      <c r="C445" s="3" t="s">
        <v>10</v>
      </c>
      <c r="D445" s="1">
        <v>0.68</v>
      </c>
    </row>
    <row r="446" spans="1:4" x14ac:dyDescent="0.25">
      <c r="A446" s="118"/>
      <c r="B446" s="1" t="s">
        <v>108</v>
      </c>
      <c r="C446" s="3" t="s">
        <v>13</v>
      </c>
      <c r="D446" s="1">
        <v>1.5</v>
      </c>
    </row>
    <row r="447" spans="1:4" x14ac:dyDescent="0.25">
      <c r="A447" s="118"/>
      <c r="B447" s="1" t="s">
        <v>109</v>
      </c>
      <c r="C447" s="1" t="s">
        <v>12</v>
      </c>
      <c r="D447" s="1">
        <v>0.3</v>
      </c>
    </row>
    <row r="448" spans="1:4" x14ac:dyDescent="0.25">
      <c r="A448" s="118"/>
      <c r="B448" s="1" t="s">
        <v>110</v>
      </c>
      <c r="C448" s="1" t="s">
        <v>12</v>
      </c>
      <c r="D448" s="1">
        <v>0.44</v>
      </c>
    </row>
    <row r="449" spans="1:4" x14ac:dyDescent="0.25">
      <c r="A449" s="118"/>
      <c r="B449" s="1" t="s">
        <v>111</v>
      </c>
      <c r="C449" s="1" t="s">
        <v>29</v>
      </c>
      <c r="D449" s="1">
        <v>0.22</v>
      </c>
    </row>
    <row r="450" spans="1:4" x14ac:dyDescent="0.25">
      <c r="A450" s="118"/>
      <c r="B450" s="1" t="s">
        <v>112</v>
      </c>
      <c r="C450" s="1" t="s">
        <v>10</v>
      </c>
      <c r="D450" s="1">
        <v>1.5</v>
      </c>
    </row>
    <row r="451" spans="1:4" x14ac:dyDescent="0.25">
      <c r="A451" s="118"/>
      <c r="B451" s="1" t="s">
        <v>47</v>
      </c>
      <c r="C451" s="1"/>
      <c r="D451" s="1">
        <v>0.2</v>
      </c>
    </row>
    <row r="452" spans="1:4" x14ac:dyDescent="0.25">
      <c r="A452" s="118"/>
      <c r="B452" s="1" t="s">
        <v>123</v>
      </c>
      <c r="C452" s="1" t="s">
        <v>13</v>
      </c>
      <c r="D452" s="1">
        <v>0.2</v>
      </c>
    </row>
    <row r="453" spans="1:4" x14ac:dyDescent="0.25">
      <c r="A453" s="118"/>
      <c r="B453" s="1" t="s">
        <v>117</v>
      </c>
      <c r="C453" s="1" t="s">
        <v>10</v>
      </c>
      <c r="D453" s="1">
        <v>0.24</v>
      </c>
    </row>
    <row r="454" spans="1:4" x14ac:dyDescent="0.25">
      <c r="A454" s="118"/>
      <c r="B454" s="1" t="s">
        <v>42</v>
      </c>
      <c r="C454" s="1" t="s">
        <v>11</v>
      </c>
      <c r="D454" s="1">
        <v>0.3</v>
      </c>
    </row>
    <row r="455" spans="1:4" x14ac:dyDescent="0.25">
      <c r="A455" s="118"/>
      <c r="B455" s="1" t="s">
        <v>124</v>
      </c>
      <c r="C455" s="1" t="s">
        <v>29</v>
      </c>
      <c r="D455" s="1">
        <v>0.05</v>
      </c>
    </row>
    <row r="456" spans="1:4" x14ac:dyDescent="0.25">
      <c r="A456" s="47" t="s">
        <v>216</v>
      </c>
      <c r="B456" s="48"/>
      <c r="C456" s="49"/>
      <c r="D456" s="7">
        <f>SUM(D443:D455)</f>
        <v>18.079999999999998</v>
      </c>
    </row>
    <row r="458" spans="1:4" x14ac:dyDescent="0.25">
      <c r="A458" s="118" t="s">
        <v>125</v>
      </c>
      <c r="B458" s="1" t="s">
        <v>0</v>
      </c>
      <c r="C458" s="1" t="s">
        <v>202</v>
      </c>
      <c r="D458" s="1" t="s">
        <v>9</v>
      </c>
    </row>
    <row r="459" spans="1:4" x14ac:dyDescent="0.25">
      <c r="A459" s="118"/>
      <c r="B459" s="1" t="s">
        <v>122</v>
      </c>
      <c r="C459" s="2" t="s">
        <v>182</v>
      </c>
      <c r="D459" s="1">
        <v>15.4</v>
      </c>
    </row>
    <row r="460" spans="1:4" x14ac:dyDescent="0.25">
      <c r="A460" s="118"/>
      <c r="B460" s="1" t="s">
        <v>106</v>
      </c>
      <c r="C460" s="3" t="s">
        <v>180</v>
      </c>
      <c r="D460" s="1">
        <v>0.35</v>
      </c>
    </row>
    <row r="461" spans="1:4" x14ac:dyDescent="0.25">
      <c r="A461" s="118"/>
      <c r="B461" s="1" t="s">
        <v>107</v>
      </c>
      <c r="C461" s="3" t="s">
        <v>10</v>
      </c>
      <c r="D461" s="1">
        <v>0.68</v>
      </c>
    </row>
    <row r="462" spans="1:4" x14ac:dyDescent="0.25">
      <c r="A462" s="118"/>
      <c r="B462" s="1" t="s">
        <v>108</v>
      </c>
      <c r="C462" s="3" t="s">
        <v>13</v>
      </c>
      <c r="D462" s="1">
        <v>1.5</v>
      </c>
    </row>
    <row r="463" spans="1:4" x14ac:dyDescent="0.25">
      <c r="A463" s="118"/>
      <c r="B463" s="1" t="s">
        <v>109</v>
      </c>
      <c r="C463" s="1" t="s">
        <v>12</v>
      </c>
      <c r="D463" s="1">
        <v>0.3</v>
      </c>
    </row>
    <row r="464" spans="1:4" x14ac:dyDescent="0.25">
      <c r="A464" s="118"/>
      <c r="B464" s="1" t="s">
        <v>110</v>
      </c>
      <c r="C464" s="1" t="s">
        <v>12</v>
      </c>
      <c r="D464" s="1">
        <v>0.44</v>
      </c>
    </row>
    <row r="465" spans="1:4" x14ac:dyDescent="0.25">
      <c r="A465" s="118"/>
      <c r="B465" s="1" t="s">
        <v>111</v>
      </c>
      <c r="C465" s="1" t="s">
        <v>29</v>
      </c>
      <c r="D465" s="1">
        <v>0.22</v>
      </c>
    </row>
    <row r="466" spans="1:4" x14ac:dyDescent="0.25">
      <c r="A466" s="118"/>
      <c r="B466" s="1" t="s">
        <v>112</v>
      </c>
      <c r="C466" s="1" t="s">
        <v>10</v>
      </c>
      <c r="D466" s="1">
        <v>1.5</v>
      </c>
    </row>
    <row r="467" spans="1:4" x14ac:dyDescent="0.25">
      <c r="A467" s="118"/>
      <c r="B467" s="1" t="s">
        <v>47</v>
      </c>
      <c r="C467" s="1"/>
      <c r="D467" s="1">
        <v>0.2</v>
      </c>
    </row>
    <row r="468" spans="1:4" x14ac:dyDescent="0.25">
      <c r="A468" s="118"/>
      <c r="B468" s="1" t="s">
        <v>69</v>
      </c>
      <c r="C468" s="1" t="s">
        <v>13</v>
      </c>
      <c r="D468" s="1">
        <v>4.25</v>
      </c>
    </row>
    <row r="469" spans="1:4" x14ac:dyDescent="0.25">
      <c r="A469" s="118"/>
      <c r="B469" s="1" t="s">
        <v>117</v>
      </c>
      <c r="C469" s="1" t="s">
        <v>183</v>
      </c>
      <c r="D469" s="1">
        <v>0.12</v>
      </c>
    </row>
    <row r="470" spans="1:4" x14ac:dyDescent="0.25">
      <c r="A470" s="118"/>
      <c r="B470" s="1" t="s">
        <v>46</v>
      </c>
      <c r="C470" s="1" t="s">
        <v>184</v>
      </c>
      <c r="D470" s="1">
        <v>0.316</v>
      </c>
    </row>
    <row r="471" spans="1:4" x14ac:dyDescent="0.25">
      <c r="A471" s="118"/>
      <c r="B471" s="1" t="s">
        <v>41</v>
      </c>
      <c r="C471" s="1" t="s">
        <v>183</v>
      </c>
      <c r="D471" s="1">
        <v>0.05</v>
      </c>
    </row>
    <row r="472" spans="1:4" x14ac:dyDescent="0.25">
      <c r="A472" s="47" t="s">
        <v>216</v>
      </c>
      <c r="B472" s="48"/>
      <c r="C472" s="49"/>
      <c r="D472" s="7">
        <f>SUM(D459:D471)</f>
        <v>25.326000000000001</v>
      </c>
    </row>
    <row r="474" spans="1:4" x14ac:dyDescent="0.25">
      <c r="A474" s="106" t="s">
        <v>126</v>
      </c>
      <c r="B474" s="1" t="s">
        <v>0</v>
      </c>
      <c r="C474" s="1" t="s">
        <v>202</v>
      </c>
      <c r="D474" s="1" t="s">
        <v>9</v>
      </c>
    </row>
    <row r="475" spans="1:4" x14ac:dyDescent="0.25">
      <c r="A475" s="107"/>
      <c r="B475" s="1" t="s">
        <v>122</v>
      </c>
      <c r="C475" s="2" t="s">
        <v>182</v>
      </c>
      <c r="D475" s="1">
        <v>15.4</v>
      </c>
    </row>
    <row r="476" spans="1:4" x14ac:dyDescent="0.25">
      <c r="A476" s="107"/>
      <c r="B476" s="1" t="s">
        <v>106</v>
      </c>
      <c r="C476" s="3" t="s">
        <v>180</v>
      </c>
      <c r="D476" s="1">
        <v>0.35</v>
      </c>
    </row>
    <row r="477" spans="1:4" x14ac:dyDescent="0.25">
      <c r="A477" s="107"/>
      <c r="B477" s="1" t="s">
        <v>107</v>
      </c>
      <c r="C477" s="3" t="s">
        <v>10</v>
      </c>
      <c r="D477" s="1">
        <v>0.68</v>
      </c>
    </row>
    <row r="478" spans="1:4" x14ac:dyDescent="0.25">
      <c r="A478" s="107"/>
      <c r="B478" s="1" t="s">
        <v>108</v>
      </c>
      <c r="C478" s="3" t="s">
        <v>13</v>
      </c>
      <c r="D478" s="1">
        <v>1.5</v>
      </c>
    </row>
    <row r="479" spans="1:4" x14ac:dyDescent="0.25">
      <c r="A479" s="107"/>
      <c r="B479" s="1" t="s">
        <v>109</v>
      </c>
      <c r="C479" s="1" t="s">
        <v>12</v>
      </c>
      <c r="D479" s="1">
        <v>0.3</v>
      </c>
    </row>
    <row r="480" spans="1:4" x14ac:dyDescent="0.25">
      <c r="A480" s="107"/>
      <c r="B480" s="1" t="s">
        <v>110</v>
      </c>
      <c r="C480" s="1" t="s">
        <v>12</v>
      </c>
      <c r="D480" s="1">
        <v>0.44</v>
      </c>
    </row>
    <row r="481" spans="1:4" x14ac:dyDescent="0.25">
      <c r="A481" s="107"/>
      <c r="B481" s="1" t="s">
        <v>111</v>
      </c>
      <c r="C481" s="1" t="s">
        <v>29</v>
      </c>
      <c r="D481" s="1">
        <v>0.22</v>
      </c>
    </row>
    <row r="482" spans="1:4" x14ac:dyDescent="0.25">
      <c r="A482" s="107"/>
      <c r="B482" s="1" t="s">
        <v>112</v>
      </c>
      <c r="C482" s="1" t="s">
        <v>10</v>
      </c>
      <c r="D482" s="1">
        <v>1.5</v>
      </c>
    </row>
    <row r="483" spans="1:4" x14ac:dyDescent="0.25">
      <c r="A483" s="107"/>
      <c r="B483" s="1" t="s">
        <v>47</v>
      </c>
      <c r="C483" s="1"/>
      <c r="D483" s="1">
        <v>0.2</v>
      </c>
    </row>
    <row r="484" spans="1:4" x14ac:dyDescent="0.25">
      <c r="A484" s="107"/>
      <c r="B484" s="1" t="s">
        <v>62</v>
      </c>
      <c r="C484" s="1" t="s">
        <v>172</v>
      </c>
      <c r="D484" s="1">
        <v>0.34499999999999997</v>
      </c>
    </row>
    <row r="485" spans="1:4" x14ac:dyDescent="0.25">
      <c r="A485" s="107"/>
      <c r="B485" s="1" t="s">
        <v>127</v>
      </c>
      <c r="C485" s="1" t="s">
        <v>13</v>
      </c>
      <c r="D485" s="1">
        <v>0.75</v>
      </c>
    </row>
    <row r="486" spans="1:4" x14ac:dyDescent="0.25">
      <c r="A486" s="107"/>
      <c r="B486" s="1" t="s">
        <v>46</v>
      </c>
      <c r="C486" s="1" t="s">
        <v>17</v>
      </c>
      <c r="D486" s="1">
        <v>0.316</v>
      </c>
    </row>
    <row r="487" spans="1:4" x14ac:dyDescent="0.25">
      <c r="A487" s="107"/>
      <c r="B487" s="1" t="s">
        <v>115</v>
      </c>
      <c r="C487" s="1" t="s">
        <v>13</v>
      </c>
      <c r="D487" s="1">
        <v>0.05</v>
      </c>
    </row>
    <row r="488" spans="1:4" x14ac:dyDescent="0.25">
      <c r="A488" s="108"/>
      <c r="B488" s="1" t="s">
        <v>69</v>
      </c>
      <c r="C488" s="1" t="s">
        <v>12</v>
      </c>
      <c r="D488" s="1">
        <v>1.7</v>
      </c>
    </row>
    <row r="489" spans="1:4" x14ac:dyDescent="0.25">
      <c r="A489" s="47" t="s">
        <v>216</v>
      </c>
      <c r="B489" s="48"/>
      <c r="C489" s="49"/>
      <c r="D489" s="7">
        <f>SUM(D475:D488)</f>
        <v>23.750999999999998</v>
      </c>
    </row>
    <row r="492" spans="1:4" x14ac:dyDescent="0.25">
      <c r="A492" s="118" t="s">
        <v>128</v>
      </c>
      <c r="B492" s="1" t="s">
        <v>0</v>
      </c>
      <c r="C492" s="1" t="s">
        <v>202</v>
      </c>
      <c r="D492" s="1" t="s">
        <v>9</v>
      </c>
    </row>
    <row r="493" spans="1:4" x14ac:dyDescent="0.25">
      <c r="A493" s="118"/>
      <c r="B493" s="1" t="s">
        <v>122</v>
      </c>
      <c r="C493" s="2">
        <v>280</v>
      </c>
      <c r="D493" s="1">
        <v>15.4</v>
      </c>
    </row>
    <row r="494" spans="1:4" x14ac:dyDescent="0.25">
      <c r="A494" s="118"/>
      <c r="B494" s="1" t="s">
        <v>106</v>
      </c>
      <c r="C494" s="3" t="s">
        <v>180</v>
      </c>
      <c r="D494" s="1">
        <v>0.35</v>
      </c>
    </row>
    <row r="495" spans="1:4" x14ac:dyDescent="0.25">
      <c r="A495" s="118"/>
      <c r="B495" s="1" t="s">
        <v>107</v>
      </c>
      <c r="C495" s="3" t="s">
        <v>10</v>
      </c>
      <c r="D495" s="1">
        <v>0.68</v>
      </c>
    </row>
    <row r="496" spans="1:4" x14ac:dyDescent="0.25">
      <c r="A496" s="118"/>
      <c r="B496" s="1" t="s">
        <v>108</v>
      </c>
      <c r="C496" s="3" t="s">
        <v>13</v>
      </c>
      <c r="D496" s="1">
        <v>1.5</v>
      </c>
    </row>
    <row r="497" spans="1:4" x14ac:dyDescent="0.25">
      <c r="A497" s="118"/>
      <c r="B497" s="1" t="s">
        <v>109</v>
      </c>
      <c r="C497" s="1" t="s">
        <v>12</v>
      </c>
      <c r="D497" s="1">
        <v>0.3</v>
      </c>
    </row>
    <row r="498" spans="1:4" x14ac:dyDescent="0.25">
      <c r="A498" s="118"/>
      <c r="B498" s="1" t="s">
        <v>110</v>
      </c>
      <c r="C498" s="1" t="s">
        <v>12</v>
      </c>
      <c r="D498" s="1">
        <v>0.44</v>
      </c>
    </row>
    <row r="499" spans="1:4" x14ac:dyDescent="0.25">
      <c r="A499" s="118"/>
      <c r="B499" s="1" t="s">
        <v>111</v>
      </c>
      <c r="C499" s="1" t="s">
        <v>29</v>
      </c>
      <c r="D499" s="1">
        <v>0.22</v>
      </c>
    </row>
    <row r="500" spans="1:4" x14ac:dyDescent="0.25">
      <c r="A500" s="118"/>
      <c r="B500" s="1" t="s">
        <v>112</v>
      </c>
      <c r="C500" s="1" t="s">
        <v>10</v>
      </c>
      <c r="D500" s="1">
        <v>1.5</v>
      </c>
    </row>
    <row r="501" spans="1:4" x14ac:dyDescent="0.25">
      <c r="A501" s="118"/>
      <c r="B501" s="1" t="s">
        <v>47</v>
      </c>
      <c r="C501" s="1"/>
      <c r="D501" s="1">
        <v>0.2</v>
      </c>
    </row>
    <row r="502" spans="1:4" x14ac:dyDescent="0.25">
      <c r="A502" s="118"/>
      <c r="B502" s="1" t="s">
        <v>129</v>
      </c>
      <c r="C502" s="1" t="s">
        <v>10</v>
      </c>
      <c r="D502" s="1">
        <v>1</v>
      </c>
    </row>
    <row r="503" spans="1:4" x14ac:dyDescent="0.25">
      <c r="A503" s="118"/>
      <c r="B503" s="1" t="s">
        <v>117</v>
      </c>
      <c r="C503" s="1" t="s">
        <v>10</v>
      </c>
      <c r="D503" s="1">
        <v>2.4</v>
      </c>
    </row>
    <row r="504" spans="1:4" x14ac:dyDescent="0.25">
      <c r="A504" s="118"/>
      <c r="B504" s="1" t="s">
        <v>40</v>
      </c>
      <c r="C504" s="1" t="s">
        <v>10</v>
      </c>
      <c r="D504" s="1">
        <v>0.3</v>
      </c>
    </row>
    <row r="505" spans="1:4" x14ac:dyDescent="0.25">
      <c r="A505" s="118"/>
      <c r="B505" s="1" t="s">
        <v>41</v>
      </c>
      <c r="C505" s="1" t="s">
        <v>10</v>
      </c>
      <c r="D505" s="1">
        <v>0.1</v>
      </c>
    </row>
    <row r="506" spans="1:4" x14ac:dyDescent="0.25">
      <c r="A506" s="47" t="s">
        <v>216</v>
      </c>
      <c r="B506" s="48"/>
      <c r="C506" s="49"/>
      <c r="D506" s="7">
        <f>SUM(D492:D505)</f>
        <v>24.39</v>
      </c>
    </row>
    <row r="508" spans="1:4" x14ac:dyDescent="0.25">
      <c r="A508" s="118" t="s">
        <v>130</v>
      </c>
      <c r="B508" s="1" t="s">
        <v>0</v>
      </c>
      <c r="C508" s="1" t="s">
        <v>202</v>
      </c>
      <c r="D508" s="1" t="s">
        <v>9</v>
      </c>
    </row>
    <row r="509" spans="1:4" x14ac:dyDescent="0.25">
      <c r="A509" s="118"/>
      <c r="B509" s="1" t="s">
        <v>122</v>
      </c>
      <c r="C509" s="2" t="s">
        <v>182</v>
      </c>
      <c r="D509" s="1">
        <v>15.4</v>
      </c>
    </row>
    <row r="510" spans="1:4" x14ac:dyDescent="0.25">
      <c r="A510" s="118"/>
      <c r="B510" s="1" t="s">
        <v>106</v>
      </c>
      <c r="C510" s="3" t="s">
        <v>180</v>
      </c>
      <c r="D510" s="1">
        <v>0.35</v>
      </c>
    </row>
    <row r="511" spans="1:4" x14ac:dyDescent="0.25">
      <c r="A511" s="118"/>
      <c r="B511" s="1" t="s">
        <v>107</v>
      </c>
      <c r="C511" s="3" t="s">
        <v>10</v>
      </c>
      <c r="D511" s="1">
        <v>0.68</v>
      </c>
    </row>
    <row r="512" spans="1:4" x14ac:dyDescent="0.25">
      <c r="A512" s="118"/>
      <c r="B512" s="1" t="s">
        <v>108</v>
      </c>
      <c r="C512" s="3" t="s">
        <v>13</v>
      </c>
      <c r="D512" s="1">
        <v>1.5</v>
      </c>
    </row>
    <row r="513" spans="1:4" x14ac:dyDescent="0.25">
      <c r="A513" s="118"/>
      <c r="B513" s="1" t="s">
        <v>109</v>
      </c>
      <c r="C513" s="1" t="s">
        <v>12</v>
      </c>
      <c r="D513" s="1">
        <v>0.3</v>
      </c>
    </row>
    <row r="514" spans="1:4" x14ac:dyDescent="0.25">
      <c r="A514" s="118"/>
      <c r="B514" s="1" t="s">
        <v>110</v>
      </c>
      <c r="C514" s="1" t="s">
        <v>12</v>
      </c>
      <c r="D514" s="1">
        <v>0.44</v>
      </c>
    </row>
    <row r="515" spans="1:4" x14ac:dyDescent="0.25">
      <c r="A515" s="118"/>
      <c r="B515" s="1" t="s">
        <v>111</v>
      </c>
      <c r="C515" s="1" t="s">
        <v>29</v>
      </c>
      <c r="D515" s="1">
        <v>0.22</v>
      </c>
    </row>
    <row r="516" spans="1:4" x14ac:dyDescent="0.25">
      <c r="A516" s="118"/>
      <c r="B516" s="1" t="s">
        <v>112</v>
      </c>
      <c r="C516" s="1" t="s">
        <v>10</v>
      </c>
      <c r="D516" s="1">
        <v>1.5</v>
      </c>
    </row>
    <row r="517" spans="1:4" x14ac:dyDescent="0.25">
      <c r="A517" s="118"/>
      <c r="B517" s="1" t="s">
        <v>47</v>
      </c>
      <c r="C517" s="1"/>
      <c r="D517" s="1">
        <v>0.2</v>
      </c>
    </row>
    <row r="518" spans="1:4" x14ac:dyDescent="0.25">
      <c r="A518" s="118"/>
      <c r="B518" s="1" t="s">
        <v>52</v>
      </c>
      <c r="C518" s="1" t="s">
        <v>167</v>
      </c>
      <c r="D518" s="1">
        <v>0.1</v>
      </c>
    </row>
    <row r="519" spans="1:4" x14ac:dyDescent="0.25">
      <c r="A519" s="118"/>
      <c r="B519" s="1" t="s">
        <v>117</v>
      </c>
      <c r="C519" s="1" t="s">
        <v>11</v>
      </c>
      <c r="D519" s="1">
        <v>1.2</v>
      </c>
    </row>
    <row r="520" spans="1:4" x14ac:dyDescent="0.25">
      <c r="A520" s="118"/>
      <c r="B520" s="1" t="s">
        <v>131</v>
      </c>
      <c r="C520" s="1" t="s">
        <v>29</v>
      </c>
      <c r="D520" s="1">
        <v>0.6</v>
      </c>
    </row>
    <row r="521" spans="1:4" x14ac:dyDescent="0.25">
      <c r="A521" s="118"/>
      <c r="B521" s="1" t="s">
        <v>62</v>
      </c>
      <c r="C521" s="1" t="s">
        <v>178</v>
      </c>
      <c r="D521" s="1">
        <v>0.215</v>
      </c>
    </row>
    <row r="522" spans="1:4" x14ac:dyDescent="0.25">
      <c r="A522" s="47" t="s">
        <v>216</v>
      </c>
      <c r="B522" s="48"/>
      <c r="C522" s="49"/>
      <c r="D522" s="7">
        <f>SUM(D508:D521)</f>
        <v>22.705000000000002</v>
      </c>
    </row>
    <row r="524" spans="1:4" x14ac:dyDescent="0.25">
      <c r="A524" s="118" t="s">
        <v>154</v>
      </c>
      <c r="B524" s="1" t="s">
        <v>0</v>
      </c>
      <c r="C524" s="1" t="s">
        <v>202</v>
      </c>
      <c r="D524" s="1" t="s">
        <v>9</v>
      </c>
    </row>
    <row r="525" spans="1:4" x14ac:dyDescent="0.25">
      <c r="A525" s="118"/>
      <c r="B525" s="1" t="s">
        <v>155</v>
      </c>
      <c r="C525" s="2" t="s">
        <v>197</v>
      </c>
      <c r="D525" s="1">
        <v>23.2</v>
      </c>
    </row>
    <row r="526" spans="1:4" x14ac:dyDescent="0.25">
      <c r="A526" s="118"/>
      <c r="B526" s="1" t="s">
        <v>106</v>
      </c>
      <c r="C526" s="3" t="s">
        <v>180</v>
      </c>
      <c r="D526" s="1">
        <v>0.35</v>
      </c>
    </row>
    <row r="527" spans="1:4" x14ac:dyDescent="0.25">
      <c r="A527" s="118"/>
      <c r="B527" s="1" t="s">
        <v>107</v>
      </c>
      <c r="C527" s="3" t="s">
        <v>10</v>
      </c>
      <c r="D527" s="1">
        <v>0.68</v>
      </c>
    </row>
    <row r="528" spans="1:4" x14ac:dyDescent="0.25">
      <c r="A528" s="118"/>
      <c r="B528" s="1" t="s">
        <v>108</v>
      </c>
      <c r="C528" s="3" t="s">
        <v>13</v>
      </c>
      <c r="D528" s="1">
        <v>1.5</v>
      </c>
    </row>
    <row r="529" spans="1:4" x14ac:dyDescent="0.25">
      <c r="A529" s="118"/>
      <c r="B529" s="1" t="s">
        <v>109</v>
      </c>
      <c r="C529" s="1" t="s">
        <v>12</v>
      </c>
      <c r="D529" s="1">
        <v>0.3</v>
      </c>
    </row>
    <row r="530" spans="1:4" x14ac:dyDescent="0.25">
      <c r="A530" s="118"/>
      <c r="B530" s="1" t="s">
        <v>110</v>
      </c>
      <c r="C530" s="1" t="s">
        <v>12</v>
      </c>
      <c r="D530" s="1">
        <v>0.44</v>
      </c>
    </row>
    <row r="531" spans="1:4" x14ac:dyDescent="0.25">
      <c r="A531" s="118"/>
      <c r="B531" s="1" t="s">
        <v>111</v>
      </c>
      <c r="C531" s="1" t="s">
        <v>29</v>
      </c>
      <c r="D531" s="1">
        <v>0.22</v>
      </c>
    </row>
    <row r="532" spans="1:4" x14ac:dyDescent="0.25">
      <c r="A532" s="118"/>
      <c r="B532" s="1" t="s">
        <v>47</v>
      </c>
      <c r="C532" s="1"/>
      <c r="D532" s="1">
        <v>0.1</v>
      </c>
    </row>
    <row r="533" spans="1:4" x14ac:dyDescent="0.25">
      <c r="A533" s="118"/>
      <c r="B533" s="1" t="s">
        <v>49</v>
      </c>
      <c r="C533" s="1"/>
      <c r="D533" s="1">
        <v>0.1</v>
      </c>
    </row>
    <row r="534" spans="1:4" x14ac:dyDescent="0.25">
      <c r="A534" s="118"/>
      <c r="B534" s="1" t="s">
        <v>56</v>
      </c>
      <c r="C534" s="1"/>
      <c r="D534" s="1">
        <v>1</v>
      </c>
    </row>
    <row r="535" spans="1:4" x14ac:dyDescent="0.25">
      <c r="A535" s="118"/>
      <c r="B535" s="1" t="s">
        <v>48</v>
      </c>
      <c r="C535" s="1"/>
      <c r="D535" s="1">
        <v>0.1</v>
      </c>
    </row>
    <row r="536" spans="1:4" x14ac:dyDescent="0.25">
      <c r="A536" s="118"/>
      <c r="B536" s="1" t="s">
        <v>156</v>
      </c>
      <c r="C536" s="1"/>
      <c r="D536" s="1">
        <v>0.1</v>
      </c>
    </row>
    <row r="537" spans="1:4" x14ac:dyDescent="0.25">
      <c r="A537" s="118"/>
      <c r="B537" s="1" t="s">
        <v>157</v>
      </c>
      <c r="C537" s="1" t="s">
        <v>10</v>
      </c>
      <c r="D537" s="1">
        <v>1.5</v>
      </c>
    </row>
    <row r="538" spans="1:4" x14ac:dyDescent="0.25">
      <c r="A538" s="47" t="s">
        <v>216</v>
      </c>
      <c r="B538" s="48"/>
      <c r="C538" s="49"/>
      <c r="D538" s="7">
        <f>SUM(D524:D537)</f>
        <v>29.590000000000007</v>
      </c>
    </row>
    <row r="542" spans="1:4" x14ac:dyDescent="0.25">
      <c r="A542" s="118" t="s">
        <v>150</v>
      </c>
      <c r="B542" s="1" t="s">
        <v>0</v>
      </c>
      <c r="C542" s="1" t="s">
        <v>202</v>
      </c>
      <c r="D542" s="1" t="s">
        <v>9</v>
      </c>
    </row>
    <row r="543" spans="1:4" x14ac:dyDescent="0.25">
      <c r="A543" s="118"/>
      <c r="B543" s="1" t="s">
        <v>151</v>
      </c>
      <c r="C543" s="2" t="s">
        <v>197</v>
      </c>
      <c r="D543" s="1">
        <v>23.2</v>
      </c>
    </row>
    <row r="544" spans="1:4" x14ac:dyDescent="0.25">
      <c r="A544" s="118"/>
      <c r="B544" s="1" t="s">
        <v>152</v>
      </c>
      <c r="C544" s="3" t="s">
        <v>15</v>
      </c>
      <c r="D544" s="1">
        <v>0.1</v>
      </c>
    </row>
    <row r="545" spans="1:4" x14ac:dyDescent="0.25">
      <c r="A545" s="118"/>
      <c r="B545" s="1" t="s">
        <v>70</v>
      </c>
      <c r="C545" s="3" t="s">
        <v>171</v>
      </c>
      <c r="D545" s="1">
        <v>0.3</v>
      </c>
    </row>
    <row r="546" spans="1:4" x14ac:dyDescent="0.25">
      <c r="A546" s="118"/>
      <c r="B546" s="1" t="s">
        <v>34</v>
      </c>
      <c r="C546" s="3" t="s">
        <v>13</v>
      </c>
      <c r="D546" s="1">
        <v>0.5</v>
      </c>
    </row>
    <row r="547" spans="1:4" x14ac:dyDescent="0.25">
      <c r="A547" s="118"/>
      <c r="B547" s="1" t="s">
        <v>81</v>
      </c>
      <c r="C547" s="1" t="s">
        <v>167</v>
      </c>
      <c r="D547" s="1">
        <v>0.1</v>
      </c>
    </row>
    <row r="548" spans="1:4" x14ac:dyDescent="0.25">
      <c r="A548" s="118"/>
      <c r="B548" s="1" t="s">
        <v>65</v>
      </c>
      <c r="C548" s="1" t="s">
        <v>167</v>
      </c>
      <c r="D548" s="1">
        <v>0.2</v>
      </c>
    </row>
    <row r="549" spans="1:4" x14ac:dyDescent="0.25">
      <c r="A549" s="118"/>
      <c r="B549" s="1" t="s">
        <v>43</v>
      </c>
      <c r="C549" s="1" t="s">
        <v>12</v>
      </c>
      <c r="D549" s="1">
        <v>0.4</v>
      </c>
    </row>
    <row r="550" spans="1:4" x14ac:dyDescent="0.25">
      <c r="A550" s="118"/>
      <c r="B550" s="1" t="s">
        <v>47</v>
      </c>
      <c r="C550" s="1"/>
      <c r="D550" s="1">
        <v>0.2</v>
      </c>
    </row>
    <row r="551" spans="1:4" x14ac:dyDescent="0.25">
      <c r="A551" s="118"/>
      <c r="B551" s="1" t="s">
        <v>56</v>
      </c>
      <c r="C551" s="1"/>
      <c r="D551" s="1">
        <v>0.1</v>
      </c>
    </row>
    <row r="552" spans="1:4" x14ac:dyDescent="0.25">
      <c r="A552" s="118"/>
      <c r="B552" s="1" t="s">
        <v>153</v>
      </c>
      <c r="C552" s="1" t="s">
        <v>198</v>
      </c>
      <c r="D552" s="1">
        <v>0.2</v>
      </c>
    </row>
    <row r="553" spans="1:4" x14ac:dyDescent="0.25">
      <c r="A553" s="47" t="s">
        <v>216</v>
      </c>
      <c r="B553" s="48"/>
      <c r="C553" s="49"/>
      <c r="D553" s="7">
        <f>SUM(D543:D552)</f>
        <v>25.3</v>
      </c>
    </row>
    <row r="555" spans="1:4" x14ac:dyDescent="0.25">
      <c r="A555" s="118" t="s">
        <v>132</v>
      </c>
      <c r="B555" s="1" t="s">
        <v>0</v>
      </c>
      <c r="C555" s="1" t="s">
        <v>202</v>
      </c>
      <c r="D555" s="1" t="s">
        <v>9</v>
      </c>
    </row>
    <row r="556" spans="1:4" x14ac:dyDescent="0.25">
      <c r="A556" s="118"/>
      <c r="B556" s="1" t="s">
        <v>133</v>
      </c>
      <c r="C556" s="2" t="s">
        <v>185</v>
      </c>
      <c r="D556" s="1">
        <v>7.4</v>
      </c>
    </row>
    <row r="557" spans="1:4" x14ac:dyDescent="0.25">
      <c r="A557" s="118"/>
      <c r="B557" s="1" t="s">
        <v>106</v>
      </c>
      <c r="C557" s="3" t="s">
        <v>180</v>
      </c>
      <c r="D557" s="1">
        <v>0.35</v>
      </c>
    </row>
    <row r="558" spans="1:4" x14ac:dyDescent="0.25">
      <c r="A558" s="118"/>
      <c r="B558" s="1" t="s">
        <v>107</v>
      </c>
      <c r="C558" s="3" t="s">
        <v>10</v>
      </c>
      <c r="D558" s="1">
        <v>0.68</v>
      </c>
    </row>
    <row r="559" spans="1:4" x14ac:dyDescent="0.25">
      <c r="A559" s="118"/>
      <c r="B559" s="1" t="s">
        <v>108</v>
      </c>
      <c r="C559" s="3" t="s">
        <v>13</v>
      </c>
      <c r="D559" s="1">
        <v>1.5</v>
      </c>
    </row>
    <row r="560" spans="1:4" x14ac:dyDescent="0.25">
      <c r="A560" s="118"/>
      <c r="B560" s="1" t="s">
        <v>109</v>
      </c>
      <c r="C560" s="1" t="s">
        <v>12</v>
      </c>
      <c r="D560" s="1">
        <v>0.3</v>
      </c>
    </row>
    <row r="561" spans="1:4" x14ac:dyDescent="0.25">
      <c r="A561" s="118"/>
      <c r="B561" s="1" t="s">
        <v>110</v>
      </c>
      <c r="C561" s="1" t="s">
        <v>12</v>
      </c>
      <c r="D561" s="1">
        <v>0.44</v>
      </c>
    </row>
    <row r="562" spans="1:4" x14ac:dyDescent="0.25">
      <c r="A562" s="118"/>
      <c r="B562" s="1" t="s">
        <v>111</v>
      </c>
      <c r="C562" s="1" t="s">
        <v>29</v>
      </c>
      <c r="D562" s="1">
        <v>0.22</v>
      </c>
    </row>
    <row r="563" spans="1:4" x14ac:dyDescent="0.25">
      <c r="A563" s="118"/>
      <c r="B563" s="1" t="s">
        <v>112</v>
      </c>
      <c r="C563" s="1" t="s">
        <v>10</v>
      </c>
      <c r="D563" s="1">
        <v>1.5</v>
      </c>
    </row>
    <row r="564" spans="1:4" x14ac:dyDescent="0.25">
      <c r="A564" s="118"/>
      <c r="B564" s="1" t="s">
        <v>47</v>
      </c>
      <c r="C564" s="1"/>
      <c r="D564" s="1">
        <v>0.2</v>
      </c>
    </row>
    <row r="565" spans="1:4" x14ac:dyDescent="0.25">
      <c r="A565" s="47" t="s">
        <v>216</v>
      </c>
      <c r="B565" s="48"/>
      <c r="C565" s="49"/>
      <c r="D565" s="7">
        <f>SUM(D556:D564)</f>
        <v>12.59</v>
      </c>
    </row>
    <row r="567" spans="1:4" x14ac:dyDescent="0.25">
      <c r="A567" s="79" t="s">
        <v>134</v>
      </c>
      <c r="B567" s="1" t="s">
        <v>0</v>
      </c>
      <c r="C567" s="1" t="s">
        <v>202</v>
      </c>
      <c r="D567" s="1" t="s">
        <v>9</v>
      </c>
    </row>
    <row r="568" spans="1:4" x14ac:dyDescent="0.25">
      <c r="A568" s="80"/>
      <c r="B568" s="1" t="s">
        <v>135</v>
      </c>
      <c r="C568" s="2" t="s">
        <v>185</v>
      </c>
      <c r="D568" s="1">
        <v>8.4</v>
      </c>
    </row>
    <row r="569" spans="1:4" x14ac:dyDescent="0.25">
      <c r="A569" s="80"/>
      <c r="B569" s="1" t="s">
        <v>106</v>
      </c>
      <c r="C569" s="3" t="s">
        <v>180</v>
      </c>
      <c r="D569" s="1">
        <v>0.35</v>
      </c>
    </row>
    <row r="570" spans="1:4" x14ac:dyDescent="0.25">
      <c r="A570" s="80"/>
      <c r="B570" s="1" t="s">
        <v>107</v>
      </c>
      <c r="C570" s="3" t="s">
        <v>10</v>
      </c>
      <c r="D570" s="1">
        <v>0.68</v>
      </c>
    </row>
    <row r="571" spans="1:4" x14ac:dyDescent="0.25">
      <c r="A571" s="80"/>
      <c r="B571" s="1" t="s">
        <v>108</v>
      </c>
      <c r="C571" s="3" t="s">
        <v>13</v>
      </c>
      <c r="D571" s="1">
        <v>1.5</v>
      </c>
    </row>
    <row r="572" spans="1:4" x14ac:dyDescent="0.25">
      <c r="A572" s="80"/>
      <c r="B572" s="1" t="s">
        <v>109</v>
      </c>
      <c r="C572" s="1" t="s">
        <v>12</v>
      </c>
      <c r="D572" s="1">
        <v>0.3</v>
      </c>
    </row>
    <row r="573" spans="1:4" x14ac:dyDescent="0.25">
      <c r="A573" s="80"/>
      <c r="B573" s="1" t="s">
        <v>110</v>
      </c>
      <c r="C573" s="1" t="s">
        <v>12</v>
      </c>
      <c r="D573" s="1">
        <v>0.44</v>
      </c>
    </row>
    <row r="574" spans="1:4" x14ac:dyDescent="0.25">
      <c r="A574" s="80"/>
      <c r="B574" s="1" t="s">
        <v>111</v>
      </c>
      <c r="C574" s="1" t="s">
        <v>29</v>
      </c>
      <c r="D574" s="1">
        <v>0.22</v>
      </c>
    </row>
    <row r="575" spans="1:4" x14ac:dyDescent="0.25">
      <c r="A575" s="80"/>
      <c r="B575" s="1" t="s">
        <v>112</v>
      </c>
      <c r="C575" s="1" t="s">
        <v>10</v>
      </c>
      <c r="D575" s="1">
        <v>1.5</v>
      </c>
    </row>
    <row r="576" spans="1:4" x14ac:dyDescent="0.25">
      <c r="A576" s="80"/>
      <c r="B576" s="1" t="s">
        <v>47</v>
      </c>
      <c r="C576" s="1"/>
      <c r="D576" s="1">
        <v>0.1</v>
      </c>
    </row>
    <row r="577" spans="1:4" x14ac:dyDescent="0.25">
      <c r="A577" s="47" t="s">
        <v>216</v>
      </c>
      <c r="B577" s="48"/>
      <c r="C577" s="49"/>
      <c r="D577" s="7">
        <f>SUM(D568:D576)</f>
        <v>13.49</v>
      </c>
    </row>
    <row r="579" spans="1:4" x14ac:dyDescent="0.25">
      <c r="A579" s="79" t="s">
        <v>144</v>
      </c>
      <c r="B579" s="1" t="s">
        <v>0</v>
      </c>
      <c r="C579" s="1" t="s">
        <v>202</v>
      </c>
      <c r="D579" s="1" t="s">
        <v>9</v>
      </c>
    </row>
    <row r="580" spans="1:4" x14ac:dyDescent="0.25">
      <c r="A580" s="80"/>
      <c r="B580" s="1" t="s">
        <v>77</v>
      </c>
      <c r="C580" s="2" t="s">
        <v>186</v>
      </c>
      <c r="D580" s="1">
        <v>15</v>
      </c>
    </row>
    <row r="581" spans="1:4" x14ac:dyDescent="0.25">
      <c r="A581" s="80"/>
      <c r="B581" s="1" t="s">
        <v>106</v>
      </c>
      <c r="C581" s="3" t="s">
        <v>180</v>
      </c>
      <c r="D581" s="1">
        <v>0.35</v>
      </c>
    </row>
    <row r="582" spans="1:4" x14ac:dyDescent="0.25">
      <c r="A582" s="80"/>
      <c r="B582" s="1" t="s">
        <v>107</v>
      </c>
      <c r="C582" s="3" t="s">
        <v>10</v>
      </c>
      <c r="D582" s="1">
        <v>0.68</v>
      </c>
    </row>
    <row r="583" spans="1:4" x14ac:dyDescent="0.25">
      <c r="A583" s="80"/>
      <c r="B583" s="1" t="s">
        <v>108</v>
      </c>
      <c r="C583" s="3" t="s">
        <v>13</v>
      </c>
      <c r="D583" s="1">
        <v>1.5</v>
      </c>
    </row>
    <row r="584" spans="1:4" x14ac:dyDescent="0.25">
      <c r="A584" s="80"/>
      <c r="B584" s="1" t="s">
        <v>109</v>
      </c>
      <c r="C584" s="1" t="s">
        <v>12</v>
      </c>
      <c r="D584" s="1">
        <v>0.3</v>
      </c>
    </row>
    <row r="585" spans="1:4" x14ac:dyDescent="0.25">
      <c r="A585" s="80"/>
      <c r="B585" s="1" t="s">
        <v>110</v>
      </c>
      <c r="C585" s="1" t="s">
        <v>12</v>
      </c>
      <c r="D585" s="1">
        <v>0.44</v>
      </c>
    </row>
    <row r="586" spans="1:4" x14ac:dyDescent="0.25">
      <c r="A586" s="80"/>
      <c r="B586" s="1" t="s">
        <v>111</v>
      </c>
      <c r="C586" s="1" t="s">
        <v>29</v>
      </c>
      <c r="D586" s="1">
        <v>0.22</v>
      </c>
    </row>
    <row r="587" spans="1:4" x14ac:dyDescent="0.25">
      <c r="A587" s="80"/>
      <c r="B587" s="1" t="s">
        <v>112</v>
      </c>
      <c r="C587" s="1" t="s">
        <v>10</v>
      </c>
      <c r="D587" s="1">
        <v>1.5</v>
      </c>
    </row>
    <row r="588" spans="1:4" x14ac:dyDescent="0.25">
      <c r="A588" s="80"/>
      <c r="B588" s="1" t="s">
        <v>47</v>
      </c>
      <c r="C588" s="1"/>
      <c r="D588" s="1">
        <v>0.2</v>
      </c>
    </row>
    <row r="589" spans="1:4" x14ac:dyDescent="0.25">
      <c r="A589" s="47" t="s">
        <v>216</v>
      </c>
      <c r="B589" s="48"/>
      <c r="C589" s="49"/>
      <c r="D589" s="7">
        <f>SUM(D580:D588)</f>
        <v>20.190000000000001</v>
      </c>
    </row>
    <row r="592" spans="1:4" x14ac:dyDescent="0.25">
      <c r="A592" s="79" t="s">
        <v>137</v>
      </c>
      <c r="B592" s="1" t="s">
        <v>0</v>
      </c>
      <c r="C592" s="1" t="s">
        <v>202</v>
      </c>
      <c r="D592" s="1" t="s">
        <v>9</v>
      </c>
    </row>
    <row r="593" spans="1:4" x14ac:dyDescent="0.25">
      <c r="A593" s="80"/>
      <c r="B593" s="1" t="s">
        <v>138</v>
      </c>
      <c r="C593" s="2" t="s">
        <v>185</v>
      </c>
      <c r="D593" s="1">
        <v>8.4</v>
      </c>
    </row>
    <row r="594" spans="1:4" x14ac:dyDescent="0.25">
      <c r="A594" s="80"/>
      <c r="B594" t="s">
        <v>51</v>
      </c>
      <c r="C594" s="5" t="s">
        <v>187</v>
      </c>
      <c r="D594" s="1">
        <v>1.25</v>
      </c>
    </row>
    <row r="595" spans="1:4" x14ac:dyDescent="0.25">
      <c r="A595" s="80"/>
      <c r="B595" s="1" t="s">
        <v>77</v>
      </c>
      <c r="C595" s="3" t="s">
        <v>188</v>
      </c>
      <c r="D595" s="1">
        <v>3</v>
      </c>
    </row>
    <row r="596" spans="1:4" x14ac:dyDescent="0.25">
      <c r="A596" s="80"/>
      <c r="B596" s="1" t="s">
        <v>68</v>
      </c>
      <c r="C596" s="3" t="s">
        <v>10</v>
      </c>
      <c r="D596" s="1">
        <v>0.1</v>
      </c>
    </row>
    <row r="597" spans="1:4" x14ac:dyDescent="0.25">
      <c r="A597" s="80"/>
      <c r="B597" s="1" t="s">
        <v>65</v>
      </c>
      <c r="C597" s="3" t="s">
        <v>168</v>
      </c>
      <c r="D597" s="1">
        <v>0.5</v>
      </c>
    </row>
    <row r="598" spans="1:4" x14ac:dyDescent="0.25">
      <c r="A598" s="80"/>
      <c r="B598" s="1" t="s">
        <v>43</v>
      </c>
      <c r="C598" s="1" t="s">
        <v>29</v>
      </c>
      <c r="D598" s="1">
        <v>0.2</v>
      </c>
    </row>
    <row r="599" spans="1:4" x14ac:dyDescent="0.25">
      <c r="A599" s="80"/>
      <c r="B599" s="1" t="s">
        <v>37</v>
      </c>
      <c r="C599" s="1" t="s">
        <v>189</v>
      </c>
      <c r="D599" s="1">
        <v>0.15</v>
      </c>
    </row>
    <row r="600" spans="1:4" x14ac:dyDescent="0.25">
      <c r="A600" s="80"/>
      <c r="B600" s="1" t="s">
        <v>75</v>
      </c>
      <c r="C600" s="1" t="s">
        <v>190</v>
      </c>
      <c r="D600" s="1">
        <v>1.25</v>
      </c>
    </row>
    <row r="601" spans="1:4" x14ac:dyDescent="0.25">
      <c r="A601" s="80"/>
      <c r="B601" s="1" t="s">
        <v>41</v>
      </c>
      <c r="C601" s="1" t="s">
        <v>13</v>
      </c>
      <c r="D601" s="1">
        <v>0.1</v>
      </c>
    </row>
    <row r="602" spans="1:4" x14ac:dyDescent="0.25">
      <c r="A602" s="80"/>
      <c r="B602" s="1" t="s">
        <v>47</v>
      </c>
      <c r="C602" s="1"/>
      <c r="D602" s="1">
        <v>0.2</v>
      </c>
    </row>
    <row r="603" spans="1:4" x14ac:dyDescent="0.25">
      <c r="A603" s="80"/>
      <c r="B603" s="1" t="s">
        <v>62</v>
      </c>
      <c r="C603" s="1" t="s">
        <v>217</v>
      </c>
      <c r="D603" s="1">
        <v>0.67500000000000004</v>
      </c>
    </row>
    <row r="604" spans="1:4" x14ac:dyDescent="0.25">
      <c r="A604" s="80"/>
      <c r="B604" s="1" t="s">
        <v>74</v>
      </c>
      <c r="C604" s="1" t="s">
        <v>12</v>
      </c>
      <c r="D604" s="1">
        <v>0.2</v>
      </c>
    </row>
    <row r="605" spans="1:4" x14ac:dyDescent="0.25">
      <c r="A605" s="80"/>
      <c r="B605" s="1" t="s">
        <v>63</v>
      </c>
      <c r="C605" s="1" t="s">
        <v>12</v>
      </c>
      <c r="D605" s="1">
        <v>1.7</v>
      </c>
    </row>
    <row r="606" spans="1:4" x14ac:dyDescent="0.25">
      <c r="A606" s="81"/>
      <c r="B606" s="1" t="s">
        <v>40</v>
      </c>
      <c r="C606" s="1" t="s">
        <v>13</v>
      </c>
      <c r="D606" s="1">
        <v>0.1</v>
      </c>
    </row>
    <row r="607" spans="1:4" x14ac:dyDescent="0.25">
      <c r="A607" s="47" t="s">
        <v>216</v>
      </c>
      <c r="B607" s="48"/>
      <c r="C607" s="49"/>
      <c r="D607" s="7">
        <f>SUM(D593:D606)</f>
        <v>17.824999999999999</v>
      </c>
    </row>
    <row r="609" spans="1:4" x14ac:dyDescent="0.25">
      <c r="A609" s="79" t="s">
        <v>136</v>
      </c>
      <c r="B609" s="1" t="s">
        <v>0</v>
      </c>
      <c r="C609" s="1" t="s">
        <v>202</v>
      </c>
      <c r="D609" s="1" t="s">
        <v>9</v>
      </c>
    </row>
    <row r="610" spans="1:4" x14ac:dyDescent="0.25">
      <c r="A610" s="80"/>
      <c r="B610" s="1" t="s">
        <v>77</v>
      </c>
      <c r="C610" s="2" t="s">
        <v>186</v>
      </c>
      <c r="D610" s="1">
        <v>15</v>
      </c>
    </row>
    <row r="611" spans="1:4" x14ac:dyDescent="0.25">
      <c r="A611" s="80"/>
      <c r="B611" s="1" t="s">
        <v>106</v>
      </c>
      <c r="C611" s="3" t="s">
        <v>180</v>
      </c>
      <c r="D611" s="1">
        <v>0.35</v>
      </c>
    </row>
    <row r="612" spans="1:4" x14ac:dyDescent="0.25">
      <c r="A612" s="80"/>
      <c r="B612" s="1" t="s">
        <v>107</v>
      </c>
      <c r="C612" s="3" t="s">
        <v>10</v>
      </c>
      <c r="D612" s="1">
        <v>0.68</v>
      </c>
    </row>
    <row r="613" spans="1:4" x14ac:dyDescent="0.25">
      <c r="A613" s="80"/>
      <c r="B613" s="1" t="s">
        <v>108</v>
      </c>
      <c r="C613" s="3" t="s">
        <v>13</v>
      </c>
      <c r="D613" s="1">
        <v>1.5</v>
      </c>
    </row>
    <row r="614" spans="1:4" x14ac:dyDescent="0.25">
      <c r="A614" s="80"/>
      <c r="B614" s="1" t="s">
        <v>109</v>
      </c>
      <c r="C614" s="1" t="s">
        <v>12</v>
      </c>
      <c r="D614" s="1">
        <v>0.3</v>
      </c>
    </row>
    <row r="615" spans="1:4" x14ac:dyDescent="0.25">
      <c r="A615" s="80"/>
      <c r="B615" s="1" t="s">
        <v>110</v>
      </c>
      <c r="C615" s="1" t="s">
        <v>12</v>
      </c>
      <c r="D615" s="1">
        <v>0.44</v>
      </c>
    </row>
    <row r="616" spans="1:4" x14ac:dyDescent="0.25">
      <c r="A616" s="80"/>
      <c r="B616" s="1" t="s">
        <v>111</v>
      </c>
      <c r="C616" s="1" t="s">
        <v>29</v>
      </c>
      <c r="D616" s="1">
        <v>0.22</v>
      </c>
    </row>
    <row r="617" spans="1:4" x14ac:dyDescent="0.25">
      <c r="A617" s="80"/>
      <c r="B617" s="1" t="s">
        <v>112</v>
      </c>
      <c r="C617" s="1" t="s">
        <v>10</v>
      </c>
      <c r="D617" s="1">
        <v>1.5</v>
      </c>
    </row>
    <row r="618" spans="1:4" x14ac:dyDescent="0.25">
      <c r="A618" s="80"/>
      <c r="B618" s="1" t="s">
        <v>47</v>
      </c>
      <c r="C618" s="1"/>
      <c r="D618" s="1">
        <v>0.1</v>
      </c>
    </row>
    <row r="619" spans="1:4" x14ac:dyDescent="0.25">
      <c r="A619" s="80"/>
      <c r="B619" s="1" t="s">
        <v>62</v>
      </c>
      <c r="C619" s="1" t="s">
        <v>179</v>
      </c>
      <c r="D619" s="1">
        <v>0.46</v>
      </c>
    </row>
    <row r="620" spans="1:4" x14ac:dyDescent="0.25">
      <c r="A620" s="80"/>
      <c r="B620" s="1" t="s">
        <v>74</v>
      </c>
      <c r="C620" s="1" t="s">
        <v>12</v>
      </c>
      <c r="D620" s="1">
        <v>0.2</v>
      </c>
    </row>
    <row r="621" spans="1:4" x14ac:dyDescent="0.25">
      <c r="A621" s="80"/>
      <c r="B621" s="1" t="s">
        <v>63</v>
      </c>
      <c r="C621" s="1" t="s">
        <v>29</v>
      </c>
      <c r="D621" s="1">
        <v>0.85</v>
      </c>
    </row>
    <row r="622" spans="1:4" x14ac:dyDescent="0.25">
      <c r="A622" s="81"/>
      <c r="B622" s="1" t="s">
        <v>65</v>
      </c>
      <c r="C622" s="1" t="s">
        <v>167</v>
      </c>
      <c r="D622" s="1">
        <v>0.2</v>
      </c>
    </row>
    <row r="623" spans="1:4" x14ac:dyDescent="0.25">
      <c r="A623" s="47" t="s">
        <v>216</v>
      </c>
      <c r="B623" s="48"/>
      <c r="C623" s="49"/>
      <c r="D623" s="7">
        <f>SUM(D610:D622)</f>
        <v>21.800000000000004</v>
      </c>
    </row>
    <row r="642" spans="1:4" x14ac:dyDescent="0.25">
      <c r="A642" s="79" t="s">
        <v>145</v>
      </c>
      <c r="B642" s="1" t="s">
        <v>0</v>
      </c>
      <c r="C642" s="1" t="s">
        <v>202</v>
      </c>
      <c r="D642" s="1" t="s">
        <v>9</v>
      </c>
    </row>
    <row r="643" spans="1:4" x14ac:dyDescent="0.25">
      <c r="A643" s="80"/>
      <c r="B643" s="1" t="s">
        <v>77</v>
      </c>
      <c r="C643" s="2" t="s">
        <v>192</v>
      </c>
      <c r="D643" s="1"/>
    </row>
    <row r="644" spans="1:4" x14ac:dyDescent="0.25">
      <c r="A644" s="80"/>
      <c r="B644" s="1" t="s">
        <v>51</v>
      </c>
      <c r="C644" s="3" t="s">
        <v>193</v>
      </c>
      <c r="D644" s="1"/>
    </row>
    <row r="645" spans="1:4" x14ac:dyDescent="0.25">
      <c r="A645" s="80"/>
      <c r="B645" s="1" t="s">
        <v>140</v>
      </c>
      <c r="C645" s="3" t="s">
        <v>165</v>
      </c>
      <c r="D645" s="1">
        <v>55</v>
      </c>
    </row>
    <row r="646" spans="1:4" x14ac:dyDescent="0.25">
      <c r="A646" s="80"/>
      <c r="B646" s="1" t="s">
        <v>141</v>
      </c>
      <c r="C646" s="3" t="s">
        <v>10</v>
      </c>
      <c r="D646" s="1"/>
    </row>
    <row r="647" spans="1:4" x14ac:dyDescent="0.25">
      <c r="A647" s="80"/>
      <c r="B647" s="1" t="s">
        <v>61</v>
      </c>
      <c r="C647" s="1" t="s">
        <v>14</v>
      </c>
      <c r="D647" s="1">
        <v>1.5</v>
      </c>
    </row>
    <row r="648" spans="1:4" x14ac:dyDescent="0.25">
      <c r="A648" s="80"/>
      <c r="B648" s="1" t="s">
        <v>78</v>
      </c>
      <c r="C648" s="1" t="s">
        <v>10</v>
      </c>
      <c r="D648" s="1">
        <v>1</v>
      </c>
    </row>
    <row r="649" spans="1:4" x14ac:dyDescent="0.25">
      <c r="A649" s="80"/>
      <c r="B649" s="1" t="s">
        <v>146</v>
      </c>
      <c r="C649" s="1" t="s">
        <v>194</v>
      </c>
      <c r="D649" s="1">
        <v>8.4</v>
      </c>
    </row>
    <row r="650" spans="1:4" x14ac:dyDescent="0.25">
      <c r="A650" s="80"/>
      <c r="B650" s="1" t="s">
        <v>147</v>
      </c>
      <c r="C650" s="1" t="s">
        <v>15</v>
      </c>
      <c r="D650" s="1"/>
    </row>
    <row r="651" spans="1:4" x14ac:dyDescent="0.25">
      <c r="A651" s="80"/>
      <c r="B651" s="1" t="s">
        <v>79</v>
      </c>
      <c r="C651" s="1" t="s">
        <v>17</v>
      </c>
      <c r="D651" s="1">
        <v>0.5</v>
      </c>
    </row>
    <row r="652" spans="1:4" x14ac:dyDescent="0.25">
      <c r="A652" s="80"/>
      <c r="B652" s="1" t="s">
        <v>148</v>
      </c>
      <c r="C652" s="1" t="s">
        <v>195</v>
      </c>
      <c r="D652" s="1"/>
    </row>
    <row r="653" spans="1:4" x14ac:dyDescent="0.25">
      <c r="A653" s="80"/>
      <c r="B653" s="1" t="s">
        <v>149</v>
      </c>
      <c r="C653" s="1" t="s">
        <v>196</v>
      </c>
      <c r="D653" s="1"/>
    </row>
    <row r="654" spans="1:4" x14ac:dyDescent="0.25">
      <c r="A654" s="80"/>
      <c r="B654" s="1" t="s">
        <v>106</v>
      </c>
      <c r="C654" s="1" t="s">
        <v>14</v>
      </c>
      <c r="D654" s="1">
        <v>0.6</v>
      </c>
    </row>
    <row r="655" spans="1:4" x14ac:dyDescent="0.25">
      <c r="A655" s="80"/>
      <c r="B655" s="1" t="s">
        <v>107</v>
      </c>
      <c r="C655" s="1" t="s">
        <v>165</v>
      </c>
      <c r="D655" s="1">
        <v>1.3</v>
      </c>
    </row>
    <row r="656" spans="1:4" x14ac:dyDescent="0.25">
      <c r="A656" s="80"/>
      <c r="B656" s="1" t="s">
        <v>108</v>
      </c>
      <c r="C656" s="1" t="s">
        <v>13</v>
      </c>
      <c r="D656" s="1">
        <v>1.5</v>
      </c>
    </row>
    <row r="657" spans="1:4" x14ac:dyDescent="0.25">
      <c r="A657" s="80"/>
      <c r="B657" s="1" t="s">
        <v>109</v>
      </c>
      <c r="C657" s="1" t="s">
        <v>12</v>
      </c>
      <c r="D657" s="1">
        <v>0.3</v>
      </c>
    </row>
    <row r="658" spans="1:4" x14ac:dyDescent="0.25">
      <c r="A658" s="80"/>
      <c r="B658" s="1" t="s">
        <v>110</v>
      </c>
      <c r="C658" s="1" t="s">
        <v>29</v>
      </c>
      <c r="D658" s="1">
        <v>0.22</v>
      </c>
    </row>
    <row r="659" spans="1:4" x14ac:dyDescent="0.25">
      <c r="A659" s="80"/>
      <c r="B659" s="1" t="s">
        <v>111</v>
      </c>
      <c r="C659" s="1" t="s">
        <v>29</v>
      </c>
      <c r="D659" s="1">
        <v>0.22</v>
      </c>
    </row>
    <row r="660" spans="1:4" x14ac:dyDescent="0.25">
      <c r="A660" s="80"/>
      <c r="B660" s="1" t="s">
        <v>112</v>
      </c>
      <c r="C660" s="1" t="s">
        <v>10</v>
      </c>
      <c r="D660" s="1">
        <v>1.5</v>
      </c>
    </row>
    <row r="661" spans="1:4" x14ac:dyDescent="0.25">
      <c r="A661" s="80"/>
      <c r="B661" s="1" t="s">
        <v>47</v>
      </c>
      <c r="C661" s="1"/>
      <c r="D661" s="1">
        <v>0.2</v>
      </c>
    </row>
    <row r="662" spans="1:4" x14ac:dyDescent="0.25">
      <c r="A662" s="81"/>
      <c r="B662" s="1" t="s">
        <v>65</v>
      </c>
      <c r="C662" s="1" t="s">
        <v>29</v>
      </c>
      <c r="D662" s="1">
        <v>0.4</v>
      </c>
    </row>
    <row r="663" spans="1:4" x14ac:dyDescent="0.25">
      <c r="A663" s="47" t="s">
        <v>216</v>
      </c>
      <c r="B663" s="48"/>
      <c r="C663" s="49"/>
      <c r="D663" s="7">
        <f>SUM(D643:D662)</f>
        <v>72.64</v>
      </c>
    </row>
    <row r="665" spans="1:4" x14ac:dyDescent="0.25">
      <c r="A665" s="79" t="s">
        <v>139</v>
      </c>
      <c r="B665" s="1" t="s">
        <v>0</v>
      </c>
      <c r="C665" s="1" t="s">
        <v>202</v>
      </c>
      <c r="D665" s="1" t="s">
        <v>9</v>
      </c>
    </row>
    <row r="666" spans="1:4" x14ac:dyDescent="0.25">
      <c r="A666" s="80"/>
      <c r="B666" s="1" t="s">
        <v>77</v>
      </c>
      <c r="C666" s="2" t="s">
        <v>191</v>
      </c>
      <c r="D666" s="1">
        <v>5</v>
      </c>
    </row>
    <row r="667" spans="1:4" x14ac:dyDescent="0.25">
      <c r="A667" s="80"/>
      <c r="B667" t="s">
        <v>51</v>
      </c>
      <c r="C667" s="3" t="s">
        <v>10</v>
      </c>
      <c r="D667" s="1">
        <v>6.5</v>
      </c>
    </row>
    <row r="668" spans="1:4" x14ac:dyDescent="0.25">
      <c r="A668" s="80"/>
      <c r="B668" s="1" t="s">
        <v>140</v>
      </c>
      <c r="C668" s="3" t="s">
        <v>10</v>
      </c>
      <c r="D668" s="1">
        <v>6</v>
      </c>
    </row>
    <row r="669" spans="1:4" x14ac:dyDescent="0.25">
      <c r="A669" s="80"/>
      <c r="B669" s="1" t="s">
        <v>142</v>
      </c>
      <c r="C669" s="1" t="s">
        <v>13</v>
      </c>
      <c r="D669" s="1">
        <v>1</v>
      </c>
    </row>
    <row r="670" spans="1:4" x14ac:dyDescent="0.25">
      <c r="A670" s="80"/>
      <c r="B670" s="1" t="s">
        <v>78</v>
      </c>
      <c r="C670" s="1" t="s">
        <v>13</v>
      </c>
      <c r="D670" s="1">
        <v>1</v>
      </c>
    </row>
    <row r="671" spans="1:4" x14ac:dyDescent="0.25">
      <c r="A671" s="80"/>
      <c r="B671" s="4" t="s">
        <v>79</v>
      </c>
      <c r="C671" s="1" t="s">
        <v>17</v>
      </c>
      <c r="D671" s="1">
        <v>0.5</v>
      </c>
    </row>
    <row r="672" spans="1:4" x14ac:dyDescent="0.25">
      <c r="A672" s="80"/>
      <c r="B672" s="1" t="s">
        <v>43</v>
      </c>
      <c r="C672" s="1" t="s">
        <v>11</v>
      </c>
      <c r="D672" s="1">
        <v>0.5</v>
      </c>
    </row>
    <row r="673" spans="1:4" x14ac:dyDescent="0.25">
      <c r="A673" s="80"/>
      <c r="B673" s="1" t="s">
        <v>41</v>
      </c>
      <c r="C673" s="1" t="s">
        <v>13</v>
      </c>
      <c r="D673" s="1">
        <v>0.1</v>
      </c>
    </row>
    <row r="674" spans="1:4" x14ac:dyDescent="0.25">
      <c r="A674" s="80"/>
      <c r="B674" s="1" t="s">
        <v>34</v>
      </c>
      <c r="C674" s="1" t="s">
        <v>10</v>
      </c>
      <c r="D674" s="1">
        <v>0.7</v>
      </c>
    </row>
    <row r="675" spans="1:4" x14ac:dyDescent="0.25">
      <c r="A675" s="80"/>
      <c r="B675" s="1" t="s">
        <v>47</v>
      </c>
      <c r="C675" s="1"/>
      <c r="D675" s="1">
        <v>0.2</v>
      </c>
    </row>
    <row r="676" spans="1:4" x14ac:dyDescent="0.25">
      <c r="A676" s="80"/>
      <c r="B676" s="1" t="s">
        <v>40</v>
      </c>
      <c r="C676" s="1" t="s">
        <v>13</v>
      </c>
      <c r="D676" s="1">
        <v>0.2</v>
      </c>
    </row>
    <row r="677" spans="1:4" x14ac:dyDescent="0.25">
      <c r="A677" s="80"/>
      <c r="B677" s="1" t="s">
        <v>143</v>
      </c>
      <c r="C677" s="1" t="s">
        <v>10</v>
      </c>
      <c r="D677" s="1">
        <v>0.5</v>
      </c>
    </row>
    <row r="678" spans="1:4" x14ac:dyDescent="0.25">
      <c r="A678" s="47" t="s">
        <v>216</v>
      </c>
      <c r="B678" s="48"/>
      <c r="C678" s="49"/>
      <c r="D678" s="7">
        <f>SUM(D666:D677)</f>
        <v>22.2</v>
      </c>
    </row>
  </sheetData>
  <mergeCells count="87">
    <mergeCell ref="A665:A677"/>
    <mergeCell ref="A642:A662"/>
    <mergeCell ref="A663:C663"/>
    <mergeCell ref="A678:C678"/>
    <mergeCell ref="A623:C623"/>
    <mergeCell ref="A607:C607"/>
    <mergeCell ref="A609:A622"/>
    <mergeCell ref="A592:A606"/>
    <mergeCell ref="A579:A588"/>
    <mergeCell ref="A589:C589"/>
    <mergeCell ref="A542:A552"/>
    <mergeCell ref="A555:A564"/>
    <mergeCell ref="A567:A576"/>
    <mergeCell ref="A577:C577"/>
    <mergeCell ref="A553:C553"/>
    <mergeCell ref="A565:C565"/>
    <mergeCell ref="A538:C538"/>
    <mergeCell ref="A489:C489"/>
    <mergeCell ref="A524:A537"/>
    <mergeCell ref="A492:A505"/>
    <mergeCell ref="A508:A521"/>
    <mergeCell ref="A506:C506"/>
    <mergeCell ref="A522:C522"/>
    <mergeCell ref="A458:A471"/>
    <mergeCell ref="A474:A488"/>
    <mergeCell ref="A472:C472"/>
    <mergeCell ref="A442:A455"/>
    <mergeCell ref="A456:C456"/>
    <mergeCell ref="A414:A429"/>
    <mergeCell ref="A430:C430"/>
    <mergeCell ref="A412:C412"/>
    <mergeCell ref="A394:A411"/>
    <mergeCell ref="A342:A356"/>
    <mergeCell ref="A357:C357"/>
    <mergeCell ref="A359:A372"/>
    <mergeCell ref="A373:C373"/>
    <mergeCell ref="A306:A315"/>
    <mergeCell ref="A318:A328"/>
    <mergeCell ref="A316:C316"/>
    <mergeCell ref="A329:C329"/>
    <mergeCell ref="A292:A303"/>
    <mergeCell ref="A304:C304"/>
    <mergeCell ref="A281:C281"/>
    <mergeCell ref="A242:A250"/>
    <mergeCell ref="A253:A265"/>
    <mergeCell ref="A266:C266"/>
    <mergeCell ref="A268:A280"/>
    <mergeCell ref="A251:C251"/>
    <mergeCell ref="A237:C237"/>
    <mergeCell ref="A202:C202"/>
    <mergeCell ref="A217:C217"/>
    <mergeCell ref="A205:A216"/>
    <mergeCell ref="A228:A236"/>
    <mergeCell ref="A226:C226"/>
    <mergeCell ref="A219:A225"/>
    <mergeCell ref="A192:A201"/>
    <mergeCell ref="A168:C168"/>
    <mergeCell ref="A186:C186"/>
    <mergeCell ref="A170:A185"/>
    <mergeCell ref="A142:A150"/>
    <mergeCell ref="A151:C151"/>
    <mergeCell ref="A153:A167"/>
    <mergeCell ref="A128:A137"/>
    <mergeCell ref="A138:C138"/>
    <mergeCell ref="A117:A125"/>
    <mergeCell ref="A126:C126"/>
    <mergeCell ref="A89:C89"/>
    <mergeCell ref="A105:A114"/>
    <mergeCell ref="A115:C115"/>
    <mergeCell ref="A103:C103"/>
    <mergeCell ref="A92:A102"/>
    <mergeCell ref="A71:A77"/>
    <mergeCell ref="A78:C78"/>
    <mergeCell ref="A80:A88"/>
    <mergeCell ref="A58:C58"/>
    <mergeCell ref="A61:A67"/>
    <mergeCell ref="A68:C68"/>
    <mergeCell ref="A2:D2"/>
    <mergeCell ref="A42:A46"/>
    <mergeCell ref="A47:C47"/>
    <mergeCell ref="A49:A57"/>
    <mergeCell ref="A4:A10"/>
    <mergeCell ref="A11:C11"/>
    <mergeCell ref="A15:A25"/>
    <mergeCell ref="A26:C26"/>
    <mergeCell ref="A28:A32"/>
    <mergeCell ref="A33:C33"/>
  </mergeCells>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1BC54-F234-451F-9B39-67CA8D07EEBC}">
  <dimension ref="A1:E535"/>
  <sheetViews>
    <sheetView topLeftCell="A431" workbookViewId="0">
      <selection activeCell="D531" sqref="D531"/>
    </sheetView>
  </sheetViews>
  <sheetFormatPr baseColWidth="10" defaultRowHeight="15" x14ac:dyDescent="0.25"/>
  <cols>
    <col min="1" max="1" width="16.7109375" customWidth="1"/>
    <col min="2" max="2" width="21.140625" customWidth="1"/>
    <col min="3" max="3" width="18.5703125" customWidth="1"/>
    <col min="4" max="4" width="19" customWidth="1"/>
    <col min="5" max="5" width="10.5703125" customWidth="1"/>
    <col min="8" max="8" width="16.85546875" customWidth="1"/>
    <col min="9" max="9" width="18.140625" customWidth="1"/>
    <col min="10" max="10" width="23.5703125" customWidth="1"/>
  </cols>
  <sheetData>
    <row r="1" spans="1:4" x14ac:dyDescent="0.25">
      <c r="A1" s="120" t="s">
        <v>918</v>
      </c>
      <c r="B1" s="120"/>
      <c r="C1" s="120"/>
      <c r="D1" s="120"/>
    </row>
    <row r="2" spans="1:4" x14ac:dyDescent="0.25">
      <c r="A2" s="79" t="s">
        <v>386</v>
      </c>
      <c r="B2" s="1" t="s">
        <v>0</v>
      </c>
      <c r="C2" s="1" t="s">
        <v>202</v>
      </c>
      <c r="D2" s="1" t="s">
        <v>9</v>
      </c>
    </row>
    <row r="3" spans="1:4" ht="15" customHeight="1" x14ac:dyDescent="0.25">
      <c r="A3" s="80"/>
      <c r="B3" s="1" t="s">
        <v>379</v>
      </c>
      <c r="C3" s="2" t="s">
        <v>173</v>
      </c>
      <c r="D3" s="1">
        <v>1.8169999999999999</v>
      </c>
    </row>
    <row r="4" spans="1:4" ht="15" customHeight="1" x14ac:dyDescent="0.25">
      <c r="A4" s="80"/>
      <c r="B4" s="1" t="s">
        <v>361</v>
      </c>
      <c r="C4" s="3" t="s">
        <v>10</v>
      </c>
      <c r="D4" s="1">
        <v>4.5</v>
      </c>
    </row>
    <row r="5" spans="1:4" x14ac:dyDescent="0.25">
      <c r="A5" s="80"/>
      <c r="B5" s="1"/>
      <c r="C5" s="3"/>
      <c r="D5" s="1"/>
    </row>
    <row r="6" spans="1:4" x14ac:dyDescent="0.25">
      <c r="A6" s="80"/>
      <c r="B6" s="1"/>
      <c r="C6" s="3"/>
      <c r="D6" s="1"/>
    </row>
    <row r="7" spans="1:4" x14ac:dyDescent="0.25">
      <c r="A7" s="80"/>
      <c r="B7" s="1"/>
      <c r="C7" s="1"/>
      <c r="D7" s="1"/>
    </row>
    <row r="8" spans="1:4" x14ac:dyDescent="0.25">
      <c r="A8" s="80"/>
      <c r="B8" s="1"/>
      <c r="C8" s="1"/>
      <c r="D8" s="1"/>
    </row>
    <row r="9" spans="1:4" x14ac:dyDescent="0.25">
      <c r="A9" s="80"/>
      <c r="B9" s="1"/>
      <c r="C9" s="1"/>
      <c r="D9" s="1"/>
    </row>
    <row r="10" spans="1:4" x14ac:dyDescent="0.25">
      <c r="A10" s="81"/>
      <c r="B10" s="1"/>
      <c r="C10" s="1"/>
      <c r="D10" s="1"/>
    </row>
    <row r="11" spans="1:4" x14ac:dyDescent="0.25">
      <c r="A11" s="12" t="s">
        <v>216</v>
      </c>
      <c r="B11" s="12"/>
      <c r="C11" s="12"/>
      <c r="D11" s="7">
        <f>SUM(D3:D9)</f>
        <v>6.3170000000000002</v>
      </c>
    </row>
    <row r="13" spans="1:4" x14ac:dyDescent="0.25">
      <c r="A13" s="79" t="s">
        <v>387</v>
      </c>
      <c r="B13" s="1" t="s">
        <v>0</v>
      </c>
      <c r="C13" s="1" t="s">
        <v>202</v>
      </c>
      <c r="D13" s="1" t="s">
        <v>9</v>
      </c>
    </row>
    <row r="14" spans="1:4" x14ac:dyDescent="0.25">
      <c r="A14" s="80"/>
      <c r="B14" s="1" t="s">
        <v>379</v>
      </c>
      <c r="C14" s="2" t="s">
        <v>173</v>
      </c>
      <c r="D14" s="1">
        <v>1.8169999999999999</v>
      </c>
    </row>
    <row r="15" spans="1:4" x14ac:dyDescent="0.25">
      <c r="A15" s="80"/>
      <c r="B15" s="1" t="s">
        <v>361</v>
      </c>
      <c r="C15" s="3" t="s">
        <v>10</v>
      </c>
      <c r="D15" s="1">
        <v>4.5</v>
      </c>
    </row>
    <row r="16" spans="1:4" x14ac:dyDescent="0.25">
      <c r="A16" s="80"/>
      <c r="B16" s="1" t="s">
        <v>382</v>
      </c>
      <c r="C16" s="3" t="s">
        <v>14</v>
      </c>
      <c r="D16" s="1">
        <v>3.375</v>
      </c>
    </row>
    <row r="17" spans="1:4" x14ac:dyDescent="0.25">
      <c r="A17" s="80"/>
      <c r="B17" s="1"/>
      <c r="C17" s="3"/>
      <c r="D17" s="1"/>
    </row>
    <row r="18" spans="1:4" x14ac:dyDescent="0.25">
      <c r="A18" s="80"/>
      <c r="B18" s="1"/>
      <c r="C18" s="1"/>
      <c r="D18" s="1"/>
    </row>
    <row r="19" spans="1:4" x14ac:dyDescent="0.25">
      <c r="A19" s="80"/>
      <c r="B19" s="1"/>
      <c r="C19" s="1"/>
      <c r="D19" s="1"/>
    </row>
    <row r="20" spans="1:4" x14ac:dyDescent="0.25">
      <c r="A20" s="80"/>
      <c r="B20" s="1"/>
      <c r="C20" s="1"/>
      <c r="D20" s="1"/>
    </row>
    <row r="21" spans="1:4" x14ac:dyDescent="0.25">
      <c r="A21" s="81"/>
      <c r="B21" s="1"/>
      <c r="C21" s="1"/>
      <c r="D21" s="1"/>
    </row>
    <row r="22" spans="1:4" x14ac:dyDescent="0.25">
      <c r="A22" s="12" t="s">
        <v>216</v>
      </c>
      <c r="B22" s="12"/>
      <c r="C22" s="12"/>
      <c r="D22" s="7">
        <f>SUM(D14:D20)</f>
        <v>9.6920000000000002</v>
      </c>
    </row>
    <row r="24" spans="1:4" x14ac:dyDescent="0.25">
      <c r="A24" s="79" t="s">
        <v>393</v>
      </c>
      <c r="B24" s="1" t="s">
        <v>0</v>
      </c>
      <c r="C24" s="1" t="s">
        <v>202</v>
      </c>
      <c r="D24" s="1" t="s">
        <v>9</v>
      </c>
    </row>
    <row r="25" spans="1:4" x14ac:dyDescent="0.25">
      <c r="A25" s="80"/>
      <c r="B25" s="1" t="s">
        <v>379</v>
      </c>
      <c r="C25" s="2" t="s">
        <v>173</v>
      </c>
      <c r="D25" s="1">
        <v>1.8169999999999999</v>
      </c>
    </row>
    <row r="26" spans="1:4" x14ac:dyDescent="0.25">
      <c r="A26" s="80"/>
      <c r="B26" s="1" t="s">
        <v>361</v>
      </c>
      <c r="C26" s="3" t="s">
        <v>10</v>
      </c>
      <c r="D26" s="1">
        <v>4.5</v>
      </c>
    </row>
    <row r="27" spans="1:4" x14ac:dyDescent="0.25">
      <c r="A27" s="80"/>
      <c r="B27" s="1" t="s">
        <v>388</v>
      </c>
      <c r="C27" s="3" t="s">
        <v>11</v>
      </c>
      <c r="D27" s="1">
        <v>2.35</v>
      </c>
    </row>
    <row r="28" spans="1:4" x14ac:dyDescent="0.25">
      <c r="A28" s="80"/>
      <c r="B28" s="1"/>
      <c r="C28" s="3"/>
      <c r="D28" s="1"/>
    </row>
    <row r="29" spans="1:4" x14ac:dyDescent="0.25">
      <c r="A29" s="80"/>
      <c r="B29" s="1"/>
      <c r="C29" s="1"/>
      <c r="D29" s="1"/>
    </row>
    <row r="30" spans="1:4" x14ac:dyDescent="0.25">
      <c r="A30" s="80"/>
      <c r="B30" s="1"/>
      <c r="C30" s="1"/>
      <c r="D30" s="1"/>
    </row>
    <row r="31" spans="1:4" x14ac:dyDescent="0.25">
      <c r="A31" s="80"/>
      <c r="B31" s="1"/>
      <c r="C31" s="1"/>
      <c r="D31" s="1"/>
    </row>
    <row r="32" spans="1:4" x14ac:dyDescent="0.25">
      <c r="A32" s="81"/>
      <c r="B32" s="1"/>
      <c r="C32" s="1"/>
      <c r="D32" s="1"/>
    </row>
    <row r="33" spans="1:4" x14ac:dyDescent="0.25">
      <c r="A33" s="12" t="s">
        <v>216</v>
      </c>
      <c r="B33" s="12"/>
      <c r="C33" s="12"/>
      <c r="D33" s="7">
        <f>SUM(D25:D31)</f>
        <v>8.6669999999999998</v>
      </c>
    </row>
    <row r="35" spans="1:4" x14ac:dyDescent="0.25">
      <c r="A35" s="79" t="s">
        <v>389</v>
      </c>
      <c r="B35" s="1" t="s">
        <v>0</v>
      </c>
      <c r="C35" s="1" t="s">
        <v>202</v>
      </c>
      <c r="D35" s="1" t="s">
        <v>9</v>
      </c>
    </row>
    <row r="36" spans="1:4" x14ac:dyDescent="0.25">
      <c r="A36" s="80"/>
      <c r="B36" s="1" t="s">
        <v>379</v>
      </c>
      <c r="C36" s="2" t="s">
        <v>173</v>
      </c>
      <c r="D36" s="1">
        <v>1.8169999999999999</v>
      </c>
    </row>
    <row r="37" spans="1:4" ht="15" customHeight="1" x14ac:dyDescent="0.25">
      <c r="A37" s="80"/>
      <c r="B37" s="1" t="s">
        <v>361</v>
      </c>
      <c r="C37" s="3" t="s">
        <v>290</v>
      </c>
      <c r="D37" s="1">
        <v>6.3</v>
      </c>
    </row>
    <row r="38" spans="1:4" x14ac:dyDescent="0.25">
      <c r="A38" s="80"/>
      <c r="B38" s="1" t="s">
        <v>390</v>
      </c>
      <c r="C38" s="3" t="s">
        <v>10</v>
      </c>
      <c r="D38" s="1">
        <v>3.3330000000000002</v>
      </c>
    </row>
    <row r="39" spans="1:4" x14ac:dyDescent="0.25">
      <c r="A39" s="80"/>
      <c r="B39" s="1" t="s">
        <v>306</v>
      </c>
      <c r="C39" s="3" t="s">
        <v>12</v>
      </c>
      <c r="D39" s="1">
        <v>0.24</v>
      </c>
    </row>
    <row r="40" spans="1:4" x14ac:dyDescent="0.25">
      <c r="A40" s="80"/>
      <c r="B40" s="1" t="s">
        <v>391</v>
      </c>
      <c r="C40" s="1" t="s">
        <v>392</v>
      </c>
      <c r="D40" s="1">
        <v>0.05</v>
      </c>
    </row>
    <row r="41" spans="1:4" x14ac:dyDescent="0.25">
      <c r="A41" s="80"/>
      <c r="B41" s="1" t="s">
        <v>304</v>
      </c>
      <c r="C41" s="1" t="s">
        <v>29</v>
      </c>
      <c r="D41" s="1">
        <v>8.5000000000000006E-2</v>
      </c>
    </row>
    <row r="42" spans="1:4" x14ac:dyDescent="0.25">
      <c r="A42" s="80"/>
      <c r="B42" s="1"/>
      <c r="C42" s="1"/>
      <c r="D42" s="1"/>
    </row>
    <row r="43" spans="1:4" x14ac:dyDescent="0.25">
      <c r="A43" s="81"/>
      <c r="B43" s="1"/>
      <c r="C43" s="1"/>
      <c r="D43" s="1"/>
    </row>
    <row r="44" spans="1:4" x14ac:dyDescent="0.25">
      <c r="A44" s="12" t="s">
        <v>216</v>
      </c>
      <c r="B44" s="12"/>
      <c r="C44" s="12"/>
      <c r="D44" s="7">
        <f>SUM(D36:D42)</f>
        <v>11.825000000000001</v>
      </c>
    </row>
    <row r="48" spans="1:4" ht="15" customHeight="1" x14ac:dyDescent="0.25"/>
    <row r="52" spans="1:4" x14ac:dyDescent="0.25">
      <c r="A52" s="79" t="s">
        <v>369</v>
      </c>
      <c r="B52" s="1" t="s">
        <v>0</v>
      </c>
      <c r="C52" s="1" t="s">
        <v>202</v>
      </c>
      <c r="D52" s="1" t="s">
        <v>9</v>
      </c>
    </row>
    <row r="53" spans="1:4" x14ac:dyDescent="0.25">
      <c r="A53" s="80"/>
      <c r="B53" s="1" t="s">
        <v>414</v>
      </c>
      <c r="C53" s="2" t="s">
        <v>244</v>
      </c>
      <c r="D53" s="1">
        <v>7.0830000000000002</v>
      </c>
    </row>
    <row r="54" spans="1:4" x14ac:dyDescent="0.25">
      <c r="A54" s="80"/>
      <c r="B54" s="1" t="s">
        <v>415</v>
      </c>
      <c r="C54" s="3" t="s">
        <v>339</v>
      </c>
      <c r="D54" s="1">
        <v>7.65</v>
      </c>
    </row>
    <row r="55" spans="1:4" x14ac:dyDescent="0.25">
      <c r="A55" s="80"/>
      <c r="B55" s="1" t="s">
        <v>416</v>
      </c>
      <c r="C55" s="3" t="s">
        <v>11</v>
      </c>
      <c r="D55" s="1">
        <v>2.2000000000000002</v>
      </c>
    </row>
    <row r="56" spans="1:4" x14ac:dyDescent="0.25">
      <c r="A56" s="80"/>
      <c r="B56" s="1"/>
      <c r="C56" s="3"/>
      <c r="D56" s="1"/>
    </row>
    <row r="57" spans="1:4" x14ac:dyDescent="0.25">
      <c r="A57" s="80"/>
      <c r="B57" s="1"/>
      <c r="C57" s="1"/>
      <c r="D57" s="1"/>
    </row>
    <row r="58" spans="1:4" x14ac:dyDescent="0.25">
      <c r="A58" s="80"/>
      <c r="B58" s="1"/>
      <c r="C58" s="1"/>
      <c r="D58" s="1"/>
    </row>
    <row r="59" spans="1:4" x14ac:dyDescent="0.25">
      <c r="A59" s="80"/>
      <c r="B59" s="1"/>
      <c r="C59" s="1"/>
      <c r="D59" s="1"/>
    </row>
    <row r="60" spans="1:4" ht="15" customHeight="1" x14ac:dyDescent="0.25">
      <c r="A60" s="81"/>
      <c r="B60" s="1"/>
      <c r="C60" s="1"/>
      <c r="D60" s="1"/>
    </row>
    <row r="61" spans="1:4" x14ac:dyDescent="0.25">
      <c r="A61" s="12" t="s">
        <v>216</v>
      </c>
      <c r="B61" s="12"/>
      <c r="C61" s="12"/>
      <c r="D61" s="7">
        <f>SUM(D53:D59)</f>
        <v>16.933</v>
      </c>
    </row>
    <row r="63" spans="1:4" x14ac:dyDescent="0.25">
      <c r="A63" s="79" t="s">
        <v>424</v>
      </c>
      <c r="B63" s="1" t="s">
        <v>0</v>
      </c>
      <c r="C63" s="1" t="s">
        <v>202</v>
      </c>
      <c r="D63" s="1" t="s">
        <v>9</v>
      </c>
    </row>
    <row r="64" spans="1:4" x14ac:dyDescent="0.25">
      <c r="A64" s="80"/>
      <c r="B64" s="1" t="s">
        <v>414</v>
      </c>
      <c r="C64" s="2" t="s">
        <v>244</v>
      </c>
      <c r="D64" s="1">
        <v>7.0830000000000002</v>
      </c>
    </row>
    <row r="65" spans="1:4" x14ac:dyDescent="0.25">
      <c r="A65" s="80"/>
      <c r="B65" s="1" t="s">
        <v>425</v>
      </c>
      <c r="C65" s="3" t="s">
        <v>171</v>
      </c>
      <c r="D65" s="1">
        <v>3.96</v>
      </c>
    </row>
    <row r="66" spans="1:4" x14ac:dyDescent="0.25">
      <c r="A66" s="80"/>
      <c r="B66" s="1" t="s">
        <v>426</v>
      </c>
      <c r="C66" s="3" t="s">
        <v>171</v>
      </c>
      <c r="D66" s="1">
        <v>1.1160000000000001</v>
      </c>
    </row>
    <row r="67" spans="1:4" x14ac:dyDescent="0.25">
      <c r="A67" s="80"/>
      <c r="B67" s="1" t="s">
        <v>427</v>
      </c>
      <c r="C67" s="3" t="s">
        <v>168</v>
      </c>
      <c r="D67" s="1">
        <v>1.319</v>
      </c>
    </row>
    <row r="68" spans="1:4" x14ac:dyDescent="0.25">
      <c r="A68" s="80"/>
      <c r="B68" s="1" t="s">
        <v>418</v>
      </c>
      <c r="C68" s="1" t="s">
        <v>244</v>
      </c>
      <c r="D68" s="1">
        <v>13.048</v>
      </c>
    </row>
    <row r="69" spans="1:4" x14ac:dyDescent="0.25">
      <c r="A69" s="80"/>
      <c r="B69" s="1"/>
      <c r="C69" s="1"/>
      <c r="D69" s="1"/>
    </row>
    <row r="70" spans="1:4" x14ac:dyDescent="0.25">
      <c r="A70" s="80"/>
      <c r="B70" s="1"/>
      <c r="C70" s="1"/>
      <c r="D70" s="1"/>
    </row>
    <row r="71" spans="1:4" x14ac:dyDescent="0.25">
      <c r="A71" s="81"/>
      <c r="B71" s="1"/>
      <c r="C71" s="1"/>
      <c r="D71" s="1"/>
    </row>
    <row r="72" spans="1:4" ht="15" customHeight="1" x14ac:dyDescent="0.25">
      <c r="A72" s="12" t="s">
        <v>216</v>
      </c>
      <c r="B72" s="12"/>
      <c r="C72" s="12"/>
      <c r="D72" s="7">
        <f>SUM(D64:D70)</f>
        <v>26.525999999999996</v>
      </c>
    </row>
    <row r="74" spans="1:4" x14ac:dyDescent="0.25">
      <c r="A74" s="72" t="s">
        <v>429</v>
      </c>
      <c r="B74" s="1" t="s">
        <v>0</v>
      </c>
      <c r="C74" s="1" t="s">
        <v>202</v>
      </c>
      <c r="D74" s="1" t="s">
        <v>9</v>
      </c>
    </row>
    <row r="75" spans="1:4" x14ac:dyDescent="0.25">
      <c r="A75" s="73"/>
      <c r="B75" s="1" t="s">
        <v>428</v>
      </c>
      <c r="C75" s="1" t="s">
        <v>244</v>
      </c>
      <c r="D75" s="1">
        <v>7.0830000000000002</v>
      </c>
    </row>
    <row r="76" spans="1:4" x14ac:dyDescent="0.25">
      <c r="A76" s="73"/>
      <c r="B76" s="1" t="s">
        <v>361</v>
      </c>
      <c r="C76" s="1" t="s">
        <v>339</v>
      </c>
      <c r="D76" s="1">
        <v>7.65</v>
      </c>
    </row>
    <row r="77" spans="1:4" x14ac:dyDescent="0.25">
      <c r="A77" s="73"/>
      <c r="B77" s="1" t="s">
        <v>416</v>
      </c>
      <c r="C77" s="1" t="s">
        <v>11</v>
      </c>
      <c r="D77" s="1">
        <v>2.2000000000000002</v>
      </c>
    </row>
    <row r="78" spans="1:4" x14ac:dyDescent="0.25">
      <c r="A78" s="73"/>
      <c r="B78" s="1"/>
      <c r="C78" s="1"/>
      <c r="D78" s="1"/>
    </row>
    <row r="79" spans="1:4" x14ac:dyDescent="0.25">
      <c r="A79" s="93"/>
      <c r="B79" s="1"/>
      <c r="C79" s="1"/>
      <c r="D79" s="1"/>
    </row>
    <row r="80" spans="1:4" x14ac:dyDescent="0.25">
      <c r="A80" s="47"/>
      <c r="B80" s="48"/>
      <c r="C80" s="49"/>
      <c r="D80" s="7">
        <f>SUM(D75:D79)</f>
        <v>16.933</v>
      </c>
    </row>
    <row r="82" spans="1:4" x14ac:dyDescent="0.25">
      <c r="A82" s="72" t="s">
        <v>430</v>
      </c>
      <c r="B82" s="1" t="s">
        <v>0</v>
      </c>
      <c r="C82" s="1" t="s">
        <v>202</v>
      </c>
      <c r="D82" s="1" t="s">
        <v>9</v>
      </c>
    </row>
    <row r="83" spans="1:4" x14ac:dyDescent="0.25">
      <c r="A83" s="73"/>
      <c r="B83" s="1" t="s">
        <v>428</v>
      </c>
      <c r="C83" s="1" t="s">
        <v>244</v>
      </c>
      <c r="D83" s="1">
        <v>7.0830000000000002</v>
      </c>
    </row>
    <row r="84" spans="1:4" ht="15" customHeight="1" x14ac:dyDescent="0.25">
      <c r="A84" s="73"/>
      <c r="B84" s="1" t="s">
        <v>361</v>
      </c>
      <c r="C84" s="1" t="s">
        <v>339</v>
      </c>
      <c r="D84" s="1">
        <v>7.65</v>
      </c>
    </row>
    <row r="85" spans="1:4" x14ac:dyDescent="0.25">
      <c r="A85" s="73"/>
      <c r="B85" s="1" t="s">
        <v>411</v>
      </c>
      <c r="C85" s="1" t="s">
        <v>392</v>
      </c>
      <c r="D85" s="1">
        <v>0.22</v>
      </c>
    </row>
    <row r="86" spans="1:4" x14ac:dyDescent="0.25">
      <c r="A86" s="73"/>
      <c r="B86" s="1"/>
      <c r="C86" s="1"/>
      <c r="D86" s="1"/>
    </row>
    <row r="87" spans="1:4" x14ac:dyDescent="0.25">
      <c r="A87" s="93"/>
      <c r="B87" s="1"/>
      <c r="C87" s="1"/>
      <c r="D87" s="1"/>
    </row>
    <row r="88" spans="1:4" x14ac:dyDescent="0.25">
      <c r="A88" s="47"/>
      <c r="B88" s="48"/>
      <c r="C88" s="49"/>
      <c r="D88" s="7">
        <f>SUM(D83:D87)</f>
        <v>14.953000000000001</v>
      </c>
    </row>
    <row r="90" spans="1:4" x14ac:dyDescent="0.25">
      <c r="A90" s="72" t="s">
        <v>431</v>
      </c>
      <c r="B90" s="1" t="s">
        <v>0</v>
      </c>
      <c r="C90" s="1" t="s">
        <v>202</v>
      </c>
      <c r="D90" s="1" t="s">
        <v>9</v>
      </c>
    </row>
    <row r="91" spans="1:4" x14ac:dyDescent="0.25">
      <c r="A91" s="73"/>
      <c r="B91" s="1" t="s">
        <v>428</v>
      </c>
      <c r="C91" s="1" t="s">
        <v>244</v>
      </c>
      <c r="D91" s="1">
        <v>7.0830000000000002</v>
      </c>
    </row>
    <row r="92" spans="1:4" x14ac:dyDescent="0.25">
      <c r="A92" s="73"/>
      <c r="B92" s="1" t="s">
        <v>432</v>
      </c>
      <c r="C92" s="1" t="s">
        <v>339</v>
      </c>
      <c r="D92" s="1">
        <v>3.4</v>
      </c>
    </row>
    <row r="93" spans="1:4" x14ac:dyDescent="0.25">
      <c r="A93" s="73"/>
      <c r="B93" s="1" t="s">
        <v>433</v>
      </c>
      <c r="C93" s="1" t="s">
        <v>14</v>
      </c>
      <c r="D93" s="1">
        <v>3.375</v>
      </c>
    </row>
    <row r="94" spans="1:4" x14ac:dyDescent="0.25">
      <c r="A94" s="73"/>
      <c r="B94" s="1" t="s">
        <v>434</v>
      </c>
      <c r="C94" s="1" t="s">
        <v>392</v>
      </c>
      <c r="D94" s="1">
        <v>0.16</v>
      </c>
    </row>
    <row r="95" spans="1:4" x14ac:dyDescent="0.25">
      <c r="A95" s="73"/>
      <c r="B95" s="1"/>
      <c r="C95" s="1"/>
      <c r="D95" s="1"/>
    </row>
    <row r="96" spans="1:4" ht="15" customHeight="1" x14ac:dyDescent="0.25">
      <c r="A96" s="50"/>
      <c r="B96" s="50"/>
      <c r="C96" s="50"/>
      <c r="D96" s="7">
        <f>SUM(D91:D95)</f>
        <v>14.018000000000001</v>
      </c>
    </row>
    <row r="102" spans="1:4" x14ac:dyDescent="0.25">
      <c r="A102" s="72" t="s">
        <v>435</v>
      </c>
      <c r="B102" s="1" t="s">
        <v>0</v>
      </c>
      <c r="C102" s="1" t="s">
        <v>202</v>
      </c>
      <c r="D102" s="1" t="s">
        <v>9</v>
      </c>
    </row>
    <row r="103" spans="1:4" x14ac:dyDescent="0.25">
      <c r="A103" s="73"/>
      <c r="B103" s="1" t="s">
        <v>414</v>
      </c>
      <c r="C103" s="1" t="s">
        <v>244</v>
      </c>
      <c r="D103" s="1">
        <v>7.0830000000000002</v>
      </c>
    </row>
    <row r="104" spans="1:4" x14ac:dyDescent="0.25">
      <c r="A104" s="73"/>
      <c r="B104" s="1" t="s">
        <v>436</v>
      </c>
      <c r="C104" s="1" t="s">
        <v>339</v>
      </c>
      <c r="D104" s="1">
        <v>3.4</v>
      </c>
    </row>
    <row r="105" spans="1:4" x14ac:dyDescent="0.25">
      <c r="A105" s="73"/>
      <c r="B105" s="1" t="s">
        <v>437</v>
      </c>
      <c r="C105" s="1" t="s">
        <v>17</v>
      </c>
      <c r="D105" s="1">
        <v>4.5</v>
      </c>
    </row>
    <row r="106" spans="1:4" x14ac:dyDescent="0.25">
      <c r="A106" s="73"/>
      <c r="B106" s="1" t="s">
        <v>413</v>
      </c>
      <c r="C106" s="1" t="s">
        <v>29</v>
      </c>
      <c r="D106" s="1">
        <v>0.1</v>
      </c>
    </row>
    <row r="107" spans="1:4" x14ac:dyDescent="0.25">
      <c r="A107" s="73"/>
      <c r="B107" s="1"/>
      <c r="C107" s="1"/>
      <c r="D107" s="1"/>
    </row>
    <row r="108" spans="1:4" ht="15" customHeight="1" x14ac:dyDescent="0.25">
      <c r="A108" s="50"/>
      <c r="B108" s="50"/>
      <c r="C108" s="50"/>
      <c r="D108" s="7">
        <f>SUM(D103:D107)</f>
        <v>15.083</v>
      </c>
    </row>
    <row r="110" spans="1:4" x14ac:dyDescent="0.25">
      <c r="A110" s="72" t="s">
        <v>438</v>
      </c>
      <c r="B110" s="1" t="s">
        <v>0</v>
      </c>
      <c r="C110" s="1" t="s">
        <v>202</v>
      </c>
      <c r="D110" s="1" t="s">
        <v>9</v>
      </c>
    </row>
    <row r="111" spans="1:4" x14ac:dyDescent="0.25">
      <c r="A111" s="73"/>
      <c r="B111" s="1" t="s">
        <v>414</v>
      </c>
      <c r="C111" s="1" t="s">
        <v>244</v>
      </c>
      <c r="D111" s="1">
        <v>7.0830000000000002</v>
      </c>
    </row>
    <row r="112" spans="1:4" x14ac:dyDescent="0.25">
      <c r="A112" s="73"/>
      <c r="B112" s="1" t="s">
        <v>439</v>
      </c>
      <c r="C112" s="1" t="s">
        <v>339</v>
      </c>
      <c r="D112" s="1">
        <v>5.6660000000000004</v>
      </c>
    </row>
    <row r="113" spans="1:4" x14ac:dyDescent="0.25">
      <c r="A113" s="73"/>
      <c r="B113" s="1" t="s">
        <v>411</v>
      </c>
      <c r="C113" s="1" t="s">
        <v>11</v>
      </c>
      <c r="D113" s="1">
        <v>0.255</v>
      </c>
    </row>
    <row r="114" spans="1:4" x14ac:dyDescent="0.25">
      <c r="A114" s="73"/>
      <c r="B114" s="1"/>
      <c r="C114" s="1"/>
      <c r="D114" s="1"/>
    </row>
    <row r="115" spans="1:4" x14ac:dyDescent="0.25">
      <c r="A115" s="73"/>
      <c r="B115" s="1"/>
      <c r="C115" s="1"/>
      <c r="D115" s="1"/>
    </row>
    <row r="116" spans="1:4" x14ac:dyDescent="0.25">
      <c r="A116" s="50"/>
      <c r="B116" s="50"/>
      <c r="C116" s="50"/>
      <c r="D116" s="7">
        <f>SUM(D111:D115)</f>
        <v>13.004000000000001</v>
      </c>
    </row>
    <row r="117" spans="1:4" ht="15" customHeight="1" x14ac:dyDescent="0.25"/>
    <row r="118" spans="1:4" x14ac:dyDescent="0.25">
      <c r="A118" s="121" t="s">
        <v>440</v>
      </c>
      <c r="B118" s="1" t="s">
        <v>0</v>
      </c>
      <c r="C118" s="1" t="s">
        <v>202</v>
      </c>
      <c r="D118" s="1" t="s">
        <v>9</v>
      </c>
    </row>
    <row r="119" spans="1:4" x14ac:dyDescent="0.25">
      <c r="A119" s="122"/>
      <c r="B119" s="1" t="s">
        <v>442</v>
      </c>
      <c r="C119" s="1" t="s">
        <v>165</v>
      </c>
      <c r="D119" s="1">
        <v>0.7</v>
      </c>
    </row>
    <row r="120" spans="1:4" x14ac:dyDescent="0.25">
      <c r="A120" s="122"/>
      <c r="B120" s="1" t="s">
        <v>439</v>
      </c>
      <c r="C120" s="1" t="s">
        <v>10</v>
      </c>
      <c r="D120" s="1">
        <v>3.3330000000000002</v>
      </c>
    </row>
    <row r="121" spans="1:4" x14ac:dyDescent="0.25">
      <c r="A121" s="123" t="s">
        <v>441</v>
      </c>
      <c r="B121" s="1" t="s">
        <v>443</v>
      </c>
      <c r="C121" s="1" t="s">
        <v>29</v>
      </c>
      <c r="D121" s="1">
        <v>0.12</v>
      </c>
    </row>
    <row r="122" spans="1:4" x14ac:dyDescent="0.25">
      <c r="A122" s="123"/>
      <c r="B122" s="1" t="s">
        <v>444</v>
      </c>
      <c r="C122" s="1" t="s">
        <v>392</v>
      </c>
      <c r="D122" s="1">
        <v>3.5999999999999997E-2</v>
      </c>
    </row>
    <row r="123" spans="1:4" x14ac:dyDescent="0.25">
      <c r="A123" s="124"/>
      <c r="B123" s="1" t="s">
        <v>445</v>
      </c>
      <c r="C123" s="1" t="s">
        <v>446</v>
      </c>
      <c r="D123" s="1">
        <v>0.9</v>
      </c>
    </row>
    <row r="124" spans="1:4" x14ac:dyDescent="0.25">
      <c r="A124" s="50"/>
      <c r="B124" s="50"/>
      <c r="C124" s="50"/>
      <c r="D124" s="7">
        <f>SUM(D119:D123)</f>
        <v>5.0890000000000004</v>
      </c>
    </row>
    <row r="126" spans="1:4" x14ac:dyDescent="0.25">
      <c r="A126" s="72" t="s">
        <v>447</v>
      </c>
      <c r="B126" s="1" t="s">
        <v>0</v>
      </c>
      <c r="C126" s="1" t="s">
        <v>202</v>
      </c>
      <c r="D126" s="1" t="s">
        <v>9</v>
      </c>
    </row>
    <row r="127" spans="1:4" x14ac:dyDescent="0.25">
      <c r="A127" s="73"/>
      <c r="B127" s="1" t="s">
        <v>440</v>
      </c>
      <c r="C127" s="1" t="s">
        <v>165</v>
      </c>
      <c r="D127" s="1">
        <v>0.7</v>
      </c>
    </row>
    <row r="128" spans="1:4" x14ac:dyDescent="0.25">
      <c r="A128" s="73"/>
      <c r="B128" s="1" t="s">
        <v>5</v>
      </c>
      <c r="C128" s="1" t="s">
        <v>11</v>
      </c>
      <c r="D128" s="1">
        <v>0.111</v>
      </c>
    </row>
    <row r="129" spans="1:4" x14ac:dyDescent="0.25">
      <c r="A129" s="73"/>
      <c r="B129" s="1" t="s">
        <v>432</v>
      </c>
      <c r="C129" s="1" t="s">
        <v>10</v>
      </c>
      <c r="D129" s="1">
        <v>2</v>
      </c>
    </row>
    <row r="130" spans="1:4" x14ac:dyDescent="0.25">
      <c r="A130" s="73"/>
      <c r="B130" s="1" t="s">
        <v>433</v>
      </c>
      <c r="C130" s="1" t="s">
        <v>14</v>
      </c>
      <c r="D130" s="1">
        <v>3.375</v>
      </c>
    </row>
    <row r="131" spans="1:4" x14ac:dyDescent="0.25">
      <c r="A131" s="73"/>
      <c r="B131" s="1"/>
      <c r="C131" s="1"/>
      <c r="D131" s="1"/>
    </row>
    <row r="132" spans="1:4" x14ac:dyDescent="0.25">
      <c r="A132" s="50"/>
      <c r="B132" s="50"/>
      <c r="C132" s="50"/>
      <c r="D132" s="7">
        <f>SUM(D127:D131)</f>
        <v>6.1859999999999999</v>
      </c>
    </row>
    <row r="135" spans="1:4" x14ac:dyDescent="0.25">
      <c r="A135" s="72" t="s">
        <v>448</v>
      </c>
      <c r="B135" s="1" t="s">
        <v>0</v>
      </c>
      <c r="C135" s="1" t="s">
        <v>202</v>
      </c>
      <c r="D135" s="1" t="s">
        <v>9</v>
      </c>
    </row>
    <row r="136" spans="1:4" x14ac:dyDescent="0.25">
      <c r="A136" s="73"/>
      <c r="B136" s="1" t="s">
        <v>440</v>
      </c>
      <c r="C136" s="1" t="s">
        <v>165</v>
      </c>
      <c r="D136" s="1">
        <v>0.7</v>
      </c>
    </row>
    <row r="137" spans="1:4" x14ac:dyDescent="0.25">
      <c r="A137" s="73"/>
      <c r="B137" s="1" t="s">
        <v>361</v>
      </c>
      <c r="C137" s="1" t="s">
        <v>10</v>
      </c>
      <c r="D137" s="1">
        <v>4.5</v>
      </c>
    </row>
    <row r="138" spans="1:4" x14ac:dyDescent="0.25">
      <c r="A138" s="73"/>
      <c r="B138" s="1" t="s">
        <v>445</v>
      </c>
      <c r="C138" s="1" t="s">
        <v>446</v>
      </c>
      <c r="D138" s="1">
        <v>0.54</v>
      </c>
    </row>
    <row r="139" spans="1:4" x14ac:dyDescent="0.25">
      <c r="A139" s="73"/>
      <c r="B139" s="1"/>
      <c r="C139" s="1"/>
      <c r="D139" s="1"/>
    </row>
    <row r="140" spans="1:4" x14ac:dyDescent="0.25">
      <c r="A140" s="73"/>
      <c r="B140" s="1"/>
      <c r="C140" s="1"/>
      <c r="D140" s="1"/>
    </row>
    <row r="141" spans="1:4" x14ac:dyDescent="0.25">
      <c r="A141" s="50"/>
      <c r="B141" s="50"/>
      <c r="C141" s="50"/>
      <c r="D141" s="7">
        <f>SUM(D136:D140)</f>
        <v>5.74</v>
      </c>
    </row>
    <row r="144" spans="1:4" x14ac:dyDescent="0.25">
      <c r="A144" s="72" t="s">
        <v>449</v>
      </c>
      <c r="B144" s="1" t="s">
        <v>0</v>
      </c>
      <c r="C144" s="1" t="s">
        <v>202</v>
      </c>
      <c r="D144" s="1" t="s">
        <v>9</v>
      </c>
    </row>
    <row r="145" spans="1:4" x14ac:dyDescent="0.25">
      <c r="A145" s="73"/>
      <c r="B145" s="1" t="s">
        <v>440</v>
      </c>
      <c r="C145" s="1" t="s">
        <v>165</v>
      </c>
      <c r="D145" s="1">
        <v>0.7</v>
      </c>
    </row>
    <row r="146" spans="1:4" x14ac:dyDescent="0.25">
      <c r="A146" s="73"/>
      <c r="B146" s="1" t="s">
        <v>30</v>
      </c>
      <c r="C146" s="1" t="s">
        <v>10</v>
      </c>
      <c r="D146" s="1">
        <v>4</v>
      </c>
    </row>
    <row r="147" spans="1:4" x14ac:dyDescent="0.25">
      <c r="A147" s="50"/>
      <c r="B147" s="50"/>
      <c r="C147" s="50"/>
      <c r="D147" s="7">
        <f>SUM(D145:D146)</f>
        <v>4.7</v>
      </c>
    </row>
    <row r="150" spans="1:4" ht="15" customHeight="1" x14ac:dyDescent="0.25"/>
    <row r="152" spans="1:4" x14ac:dyDescent="0.25">
      <c r="A152" s="72" t="s">
        <v>450</v>
      </c>
      <c r="B152" s="1" t="s">
        <v>0</v>
      </c>
      <c r="C152" s="1" t="s">
        <v>202</v>
      </c>
      <c r="D152" s="1" t="s">
        <v>9</v>
      </c>
    </row>
    <row r="153" spans="1:4" x14ac:dyDescent="0.25">
      <c r="A153" s="73"/>
      <c r="B153" s="1" t="s">
        <v>414</v>
      </c>
      <c r="C153" s="1" t="s">
        <v>244</v>
      </c>
      <c r="D153" s="1">
        <v>3.028</v>
      </c>
    </row>
    <row r="154" spans="1:4" x14ac:dyDescent="0.25">
      <c r="A154" s="73"/>
      <c r="B154" s="1" t="s">
        <v>451</v>
      </c>
      <c r="C154" s="1" t="s">
        <v>224</v>
      </c>
      <c r="D154" s="1">
        <v>5.55</v>
      </c>
    </row>
    <row r="155" spans="1:4" x14ac:dyDescent="0.25">
      <c r="A155" s="73"/>
      <c r="B155" s="1" t="s">
        <v>452</v>
      </c>
      <c r="C155" s="1" t="s">
        <v>13</v>
      </c>
      <c r="D155" s="1">
        <v>1</v>
      </c>
    </row>
    <row r="156" spans="1:4" x14ac:dyDescent="0.25">
      <c r="A156" s="73"/>
      <c r="B156" s="1" t="s">
        <v>453</v>
      </c>
      <c r="C156" s="1" t="s">
        <v>167</v>
      </c>
      <c r="D156" s="1">
        <v>0.15</v>
      </c>
    </row>
    <row r="157" spans="1:4" x14ac:dyDescent="0.25">
      <c r="A157" s="73"/>
      <c r="B157" s="1"/>
      <c r="C157" s="1"/>
      <c r="D157" s="1"/>
    </row>
    <row r="158" spans="1:4" x14ac:dyDescent="0.25">
      <c r="A158" s="50"/>
      <c r="B158" s="50"/>
      <c r="C158" s="50"/>
      <c r="D158" s="7">
        <f>SUM(D153:D157)</f>
        <v>9.7279999999999998</v>
      </c>
    </row>
    <row r="160" spans="1:4" x14ac:dyDescent="0.25">
      <c r="A160" s="72" t="s">
        <v>454</v>
      </c>
      <c r="B160" s="1" t="s">
        <v>0</v>
      </c>
      <c r="C160" s="1" t="s">
        <v>202</v>
      </c>
      <c r="D160" s="1" t="s">
        <v>9</v>
      </c>
    </row>
    <row r="161" spans="1:4" x14ac:dyDescent="0.25">
      <c r="A161" s="73"/>
      <c r="B161" s="1" t="s">
        <v>293</v>
      </c>
      <c r="C161" s="1" t="s">
        <v>213</v>
      </c>
      <c r="D161" s="1">
        <v>5.194</v>
      </c>
    </row>
    <row r="162" spans="1:4" x14ac:dyDescent="0.25">
      <c r="A162" s="73"/>
      <c r="B162" s="1" t="s">
        <v>455</v>
      </c>
      <c r="C162" s="1" t="s">
        <v>456</v>
      </c>
      <c r="D162" s="1">
        <v>3.069</v>
      </c>
    </row>
    <row r="163" spans="1:4" x14ac:dyDescent="0.25">
      <c r="A163" s="73"/>
      <c r="B163" s="1" t="s">
        <v>296</v>
      </c>
      <c r="C163" s="1" t="s">
        <v>17</v>
      </c>
      <c r="D163" s="1">
        <v>1</v>
      </c>
    </row>
    <row r="164" spans="1:4" x14ac:dyDescent="0.25">
      <c r="A164" s="73"/>
      <c r="B164" s="1" t="s">
        <v>295</v>
      </c>
      <c r="C164" s="1" t="s">
        <v>10</v>
      </c>
      <c r="D164" s="1">
        <v>1</v>
      </c>
    </row>
    <row r="165" spans="1:4" x14ac:dyDescent="0.25">
      <c r="A165" s="73"/>
      <c r="B165" s="1" t="s">
        <v>433</v>
      </c>
      <c r="C165" s="1" t="s">
        <v>14</v>
      </c>
      <c r="D165" s="1">
        <v>3.375</v>
      </c>
    </row>
    <row r="166" spans="1:4" x14ac:dyDescent="0.25">
      <c r="A166" s="73"/>
      <c r="B166" s="1" t="s">
        <v>457</v>
      </c>
      <c r="C166" s="1" t="s">
        <v>458</v>
      </c>
      <c r="D166" s="1">
        <v>1.8</v>
      </c>
    </row>
    <row r="167" spans="1:4" x14ac:dyDescent="0.25">
      <c r="A167" s="73"/>
      <c r="B167" s="1" t="s">
        <v>439</v>
      </c>
      <c r="C167" s="1" t="s">
        <v>458</v>
      </c>
      <c r="D167" s="1">
        <v>5.04</v>
      </c>
    </row>
    <row r="168" spans="1:4" x14ac:dyDescent="0.25">
      <c r="A168" s="73"/>
      <c r="B168" s="1" t="s">
        <v>459</v>
      </c>
      <c r="C168" s="1" t="s">
        <v>167</v>
      </c>
      <c r="D168" s="1">
        <v>0.34300000000000003</v>
      </c>
    </row>
    <row r="169" spans="1:4" x14ac:dyDescent="0.25">
      <c r="A169" s="73"/>
      <c r="B169" s="1" t="s">
        <v>460</v>
      </c>
      <c r="C169" s="1" t="s">
        <v>552</v>
      </c>
      <c r="D169" s="1">
        <v>2.16</v>
      </c>
    </row>
    <row r="170" spans="1:4" x14ac:dyDescent="0.25">
      <c r="A170" s="50"/>
      <c r="B170" s="50"/>
      <c r="C170" s="50"/>
      <c r="D170" s="7">
        <f>SUM(D161:D169)</f>
        <v>22.981000000000002</v>
      </c>
    </row>
    <row r="173" spans="1:4" x14ac:dyDescent="0.25">
      <c r="A173" s="72" t="s">
        <v>461</v>
      </c>
      <c r="B173" s="1" t="s">
        <v>0</v>
      </c>
      <c r="C173" s="1" t="s">
        <v>202</v>
      </c>
      <c r="D173" s="1" t="s">
        <v>9</v>
      </c>
    </row>
    <row r="174" spans="1:4" x14ac:dyDescent="0.25">
      <c r="A174" s="73"/>
      <c r="B174" s="1" t="s">
        <v>293</v>
      </c>
      <c r="C174" s="1" t="s">
        <v>213</v>
      </c>
      <c r="D174" s="1">
        <v>5.194</v>
      </c>
    </row>
    <row r="175" spans="1:4" x14ac:dyDescent="0.25">
      <c r="A175" s="73"/>
      <c r="B175" s="1" t="s">
        <v>455</v>
      </c>
      <c r="C175" s="1" t="s">
        <v>456</v>
      </c>
      <c r="D175" s="1">
        <v>3.069</v>
      </c>
    </row>
    <row r="176" spans="1:4" x14ac:dyDescent="0.25">
      <c r="A176" s="73"/>
      <c r="B176" s="1" t="s">
        <v>296</v>
      </c>
      <c r="C176" s="1" t="s">
        <v>170</v>
      </c>
      <c r="D176" s="1">
        <v>2</v>
      </c>
    </row>
    <row r="177" spans="1:4" x14ac:dyDescent="0.25">
      <c r="A177" s="73"/>
      <c r="B177" s="1" t="s">
        <v>433</v>
      </c>
      <c r="C177" s="1" t="s">
        <v>244</v>
      </c>
      <c r="D177" s="1">
        <f>3.375*2</f>
        <v>6.75</v>
      </c>
    </row>
    <row r="178" spans="1:4" x14ac:dyDescent="0.25">
      <c r="A178" s="73"/>
      <c r="B178" s="1" t="s">
        <v>295</v>
      </c>
      <c r="C178" s="1" t="s">
        <v>165</v>
      </c>
      <c r="D178" s="1">
        <v>2</v>
      </c>
    </row>
    <row r="179" spans="1:4" ht="15" customHeight="1" x14ac:dyDescent="0.25">
      <c r="A179" s="73"/>
      <c r="B179" s="1" t="s">
        <v>360</v>
      </c>
      <c r="C179" s="1" t="s">
        <v>458</v>
      </c>
      <c r="D179" s="1">
        <v>5.04</v>
      </c>
    </row>
    <row r="180" spans="1:4" x14ac:dyDescent="0.25">
      <c r="A180" s="73"/>
      <c r="B180" s="1" t="s">
        <v>452</v>
      </c>
      <c r="C180" s="1" t="s">
        <v>458</v>
      </c>
      <c r="D180" s="1">
        <v>1.8</v>
      </c>
    </row>
    <row r="181" spans="1:4" x14ac:dyDescent="0.25">
      <c r="A181" s="73"/>
      <c r="B181" s="1" t="s">
        <v>462</v>
      </c>
      <c r="C181" s="1" t="s">
        <v>458</v>
      </c>
      <c r="D181" s="1">
        <v>2.3130000000000002</v>
      </c>
    </row>
    <row r="182" spans="1:4" x14ac:dyDescent="0.25">
      <c r="A182" s="73"/>
      <c r="B182" s="1" t="s">
        <v>463</v>
      </c>
      <c r="C182" s="1" t="s">
        <v>250</v>
      </c>
      <c r="D182" s="1">
        <v>2.1</v>
      </c>
    </row>
    <row r="183" spans="1:4" x14ac:dyDescent="0.25">
      <c r="A183" s="73"/>
      <c r="B183" s="1" t="s">
        <v>464</v>
      </c>
      <c r="C183" s="1" t="s">
        <v>17</v>
      </c>
      <c r="D183" s="1">
        <v>4.3899999999999997</v>
      </c>
    </row>
    <row r="184" spans="1:4" x14ac:dyDescent="0.25">
      <c r="A184" s="73"/>
      <c r="B184" s="1" t="s">
        <v>460</v>
      </c>
      <c r="C184" s="1" t="s">
        <v>552</v>
      </c>
      <c r="D184" s="1">
        <v>2.16</v>
      </c>
    </row>
    <row r="185" spans="1:4" x14ac:dyDescent="0.25">
      <c r="A185" s="50"/>
      <c r="B185" s="50"/>
      <c r="C185" s="50"/>
      <c r="D185" s="7">
        <f>SUM(D174:D184)</f>
        <v>36.816000000000003</v>
      </c>
    </row>
    <row r="186" spans="1:4" ht="15" customHeight="1" x14ac:dyDescent="0.25"/>
    <row r="187" spans="1:4" x14ac:dyDescent="0.25">
      <c r="A187" s="53" t="s">
        <v>575</v>
      </c>
      <c r="B187" s="1" t="s">
        <v>0</v>
      </c>
      <c r="C187" s="1" t="s">
        <v>202</v>
      </c>
      <c r="D187" s="1" t="s">
        <v>9</v>
      </c>
    </row>
    <row r="188" spans="1:4" x14ac:dyDescent="0.25">
      <c r="A188" s="54"/>
      <c r="B188" s="1" t="s">
        <v>234</v>
      </c>
      <c r="C188" s="1" t="s">
        <v>165</v>
      </c>
      <c r="D188" s="1">
        <v>0.36</v>
      </c>
    </row>
    <row r="189" spans="1:4" x14ac:dyDescent="0.25">
      <c r="A189" s="54"/>
      <c r="B189" s="1" t="s">
        <v>576</v>
      </c>
      <c r="C189" s="1" t="s">
        <v>17</v>
      </c>
      <c r="D189" s="1">
        <v>1.8</v>
      </c>
    </row>
    <row r="190" spans="1:4" x14ac:dyDescent="0.25">
      <c r="A190" s="54"/>
      <c r="B190" s="1" t="s">
        <v>232</v>
      </c>
      <c r="C190" s="1" t="s">
        <v>577</v>
      </c>
      <c r="D190" s="1">
        <v>1.4E-2</v>
      </c>
    </row>
    <row r="191" spans="1:4" x14ac:dyDescent="0.25">
      <c r="A191" s="54"/>
      <c r="B191" s="1" t="s">
        <v>423</v>
      </c>
      <c r="C191" s="1" t="s">
        <v>10</v>
      </c>
      <c r="D191" s="1">
        <v>1.7999999999999999E-2</v>
      </c>
    </row>
    <row r="192" spans="1:4" x14ac:dyDescent="0.25">
      <c r="A192" s="54"/>
      <c r="B192" s="1" t="s">
        <v>578</v>
      </c>
      <c r="C192" s="21" t="s">
        <v>621</v>
      </c>
      <c r="D192" s="1">
        <v>0.2</v>
      </c>
    </row>
    <row r="193" spans="1:4" x14ac:dyDescent="0.25">
      <c r="A193" s="50"/>
      <c r="B193" s="50"/>
      <c r="C193" s="50"/>
      <c r="D193" s="7">
        <f>SUM(D188:D192)</f>
        <v>2.3919999999999999</v>
      </c>
    </row>
    <row r="202" spans="1:4" x14ac:dyDescent="0.25">
      <c r="A202" s="72" t="s">
        <v>579</v>
      </c>
      <c r="B202" s="1" t="s">
        <v>0</v>
      </c>
      <c r="C202" s="1" t="s">
        <v>202</v>
      </c>
      <c r="D202" s="1" t="s">
        <v>9</v>
      </c>
    </row>
    <row r="203" spans="1:4" x14ac:dyDescent="0.25">
      <c r="A203" s="73"/>
      <c r="B203" s="1" t="s">
        <v>580</v>
      </c>
      <c r="C203" s="1" t="s">
        <v>651</v>
      </c>
      <c r="D203" s="1">
        <v>1.5</v>
      </c>
    </row>
    <row r="204" spans="1:4" x14ac:dyDescent="0.25">
      <c r="A204" s="73"/>
      <c r="B204" s="1" t="s">
        <v>234</v>
      </c>
      <c r="C204" s="1" t="s">
        <v>652</v>
      </c>
      <c r="D204" s="1">
        <v>0.73</v>
      </c>
    </row>
    <row r="205" spans="1:4" ht="15" customHeight="1" x14ac:dyDescent="0.25">
      <c r="A205" s="73"/>
      <c r="B205" s="1" t="s">
        <v>331</v>
      </c>
      <c r="C205" s="1" t="s">
        <v>653</v>
      </c>
      <c r="D205" s="1">
        <v>2.1999999999999999E-2</v>
      </c>
    </row>
    <row r="206" spans="1:4" x14ac:dyDescent="0.25">
      <c r="A206" s="73"/>
      <c r="B206" s="1" t="s">
        <v>581</v>
      </c>
      <c r="C206" s="1" t="s">
        <v>29</v>
      </c>
      <c r="D206" s="1">
        <v>0.03</v>
      </c>
    </row>
    <row r="207" spans="1:4" x14ac:dyDescent="0.25">
      <c r="A207" s="73"/>
      <c r="B207" s="1" t="s">
        <v>582</v>
      </c>
      <c r="C207" s="1" t="s">
        <v>11</v>
      </c>
      <c r="D207" s="1">
        <v>1.32</v>
      </c>
    </row>
    <row r="208" spans="1:4" x14ac:dyDescent="0.25">
      <c r="A208" s="73"/>
      <c r="B208" s="1" t="s">
        <v>337</v>
      </c>
      <c r="C208" s="1" t="s">
        <v>12</v>
      </c>
      <c r="D208" s="1">
        <v>1.2</v>
      </c>
    </row>
    <row r="209" spans="1:4" x14ac:dyDescent="0.25">
      <c r="A209" s="73"/>
      <c r="B209" s="1" t="s">
        <v>583</v>
      </c>
      <c r="C209" s="1" t="s">
        <v>654</v>
      </c>
      <c r="D209" s="1">
        <v>0.13500000000000001</v>
      </c>
    </row>
    <row r="210" spans="1:4" x14ac:dyDescent="0.25">
      <c r="A210" s="50"/>
      <c r="B210" s="50"/>
      <c r="C210" s="50"/>
      <c r="D210" s="7">
        <f>SUM(D203:D209)</f>
        <v>4.9369999999999994</v>
      </c>
    </row>
    <row r="212" spans="1:4" x14ac:dyDescent="0.25">
      <c r="A212" s="106" t="s">
        <v>591</v>
      </c>
      <c r="B212" s="1" t="s">
        <v>0</v>
      </c>
      <c r="C212" s="1" t="s">
        <v>202</v>
      </c>
      <c r="D212" s="1" t="s">
        <v>9</v>
      </c>
    </row>
    <row r="213" spans="1:4" x14ac:dyDescent="0.25">
      <c r="A213" s="107"/>
      <c r="B213" s="1" t="s">
        <v>592</v>
      </c>
      <c r="C213" s="1" t="s">
        <v>17</v>
      </c>
      <c r="D213" s="1">
        <v>4.4400000000000004</v>
      </c>
    </row>
    <row r="214" spans="1:4" x14ac:dyDescent="0.25">
      <c r="A214" s="107"/>
      <c r="B214" s="1" t="s">
        <v>595</v>
      </c>
      <c r="C214" s="1" t="s">
        <v>180</v>
      </c>
      <c r="D214" s="1">
        <v>1.4</v>
      </c>
    </row>
    <row r="215" spans="1:4" x14ac:dyDescent="0.25">
      <c r="A215" s="50"/>
      <c r="B215" s="50"/>
      <c r="C215" s="50"/>
      <c r="D215" s="7">
        <f>SUM(D213:D214)</f>
        <v>5.84</v>
      </c>
    </row>
    <row r="217" spans="1:4" x14ac:dyDescent="0.25">
      <c r="A217" s="106" t="s">
        <v>593</v>
      </c>
      <c r="B217" s="1" t="s">
        <v>0</v>
      </c>
      <c r="C217" s="1" t="s">
        <v>202</v>
      </c>
      <c r="D217" s="1" t="s">
        <v>9</v>
      </c>
    </row>
    <row r="218" spans="1:4" x14ac:dyDescent="0.25">
      <c r="A218" s="107"/>
      <c r="B218" s="1" t="s">
        <v>592</v>
      </c>
      <c r="C218" s="1" t="s">
        <v>17</v>
      </c>
      <c r="D218" s="1">
        <v>4.4400000000000004</v>
      </c>
    </row>
    <row r="219" spans="1:4" x14ac:dyDescent="0.25">
      <c r="A219" s="107"/>
      <c r="B219" s="1" t="s">
        <v>360</v>
      </c>
      <c r="C219" s="1" t="s">
        <v>11</v>
      </c>
      <c r="D219" s="1">
        <v>1</v>
      </c>
    </row>
    <row r="220" spans="1:4" x14ac:dyDescent="0.25">
      <c r="A220" s="107"/>
      <c r="B220" s="1" t="s">
        <v>443</v>
      </c>
      <c r="C220" s="1" t="s">
        <v>12</v>
      </c>
      <c r="D220" s="1">
        <v>0.24</v>
      </c>
    </row>
    <row r="221" spans="1:4" x14ac:dyDescent="0.25">
      <c r="A221" s="107"/>
      <c r="B221" s="1" t="s">
        <v>361</v>
      </c>
      <c r="C221" s="1" t="s">
        <v>180</v>
      </c>
      <c r="D221" s="1">
        <v>2.8</v>
      </c>
    </row>
    <row r="222" spans="1:4" x14ac:dyDescent="0.25">
      <c r="A222" s="107"/>
      <c r="B222" s="1" t="s">
        <v>411</v>
      </c>
      <c r="C222" s="1" t="s">
        <v>167</v>
      </c>
      <c r="D222" s="1">
        <v>4.25</v>
      </c>
    </row>
    <row r="223" spans="1:4" x14ac:dyDescent="0.25">
      <c r="A223" s="50"/>
      <c r="B223" s="50"/>
      <c r="C223" s="50"/>
      <c r="D223" s="7">
        <f>SUM(D218:D222)</f>
        <v>12.73</v>
      </c>
    </row>
    <row r="225" spans="1:4" x14ac:dyDescent="0.25">
      <c r="A225" s="72" t="s">
        <v>596</v>
      </c>
      <c r="B225" s="1" t="s">
        <v>0</v>
      </c>
      <c r="C225" s="1" t="s">
        <v>202</v>
      </c>
      <c r="D225" s="1" t="s">
        <v>9</v>
      </c>
    </row>
    <row r="226" spans="1:4" x14ac:dyDescent="0.25">
      <c r="A226" s="73"/>
      <c r="B226" s="1" t="s">
        <v>592</v>
      </c>
      <c r="C226" s="1" t="s">
        <v>17</v>
      </c>
      <c r="D226" s="1">
        <v>4.4400000000000004</v>
      </c>
    </row>
    <row r="227" spans="1:4" x14ac:dyDescent="0.25">
      <c r="A227" s="73"/>
      <c r="B227" s="1" t="s">
        <v>361</v>
      </c>
      <c r="C227" s="1" t="s">
        <v>180</v>
      </c>
      <c r="D227" s="1">
        <v>3.15</v>
      </c>
    </row>
    <row r="228" spans="1:4" x14ac:dyDescent="0.25">
      <c r="A228" s="73"/>
      <c r="B228" s="1" t="s">
        <v>411</v>
      </c>
      <c r="C228" s="1" t="s">
        <v>167</v>
      </c>
      <c r="D228" s="1">
        <v>4.25</v>
      </c>
    </row>
    <row r="229" spans="1:4" x14ac:dyDescent="0.25">
      <c r="A229" s="50"/>
      <c r="B229" s="50"/>
      <c r="C229" s="50"/>
      <c r="D229" s="7">
        <f>SUM(D226:D228)</f>
        <v>11.84</v>
      </c>
    </row>
    <row r="231" spans="1:4" x14ac:dyDescent="0.25">
      <c r="A231" s="106" t="s">
        <v>613</v>
      </c>
      <c r="B231" s="1" t="s">
        <v>0</v>
      </c>
      <c r="C231" s="1" t="s">
        <v>202</v>
      </c>
      <c r="D231" s="1" t="s">
        <v>9</v>
      </c>
    </row>
    <row r="232" spans="1:4" x14ac:dyDescent="0.25">
      <c r="A232" s="107"/>
      <c r="B232" s="1" t="s">
        <v>614</v>
      </c>
      <c r="C232" s="1" t="s">
        <v>456</v>
      </c>
      <c r="D232" s="1">
        <v>2.2749999999999999</v>
      </c>
    </row>
    <row r="233" spans="1:4" x14ac:dyDescent="0.25">
      <c r="A233" s="107"/>
      <c r="B233" s="1" t="s">
        <v>615</v>
      </c>
      <c r="C233" s="1" t="s">
        <v>616</v>
      </c>
      <c r="D233" s="1">
        <v>0.28699999999999998</v>
      </c>
    </row>
    <row r="234" spans="1:4" x14ac:dyDescent="0.25">
      <c r="A234" s="107"/>
      <c r="B234" s="1" t="s">
        <v>469</v>
      </c>
      <c r="C234" s="1" t="s">
        <v>271</v>
      </c>
      <c r="D234" s="1">
        <v>3.0249999999999999</v>
      </c>
    </row>
    <row r="235" spans="1:4" x14ac:dyDescent="0.25">
      <c r="A235" s="107"/>
      <c r="B235" s="1" t="s">
        <v>488</v>
      </c>
      <c r="C235" s="1" t="s">
        <v>168</v>
      </c>
      <c r="D235" s="1">
        <v>0.96</v>
      </c>
    </row>
    <row r="236" spans="1:4" x14ac:dyDescent="0.25">
      <c r="A236" s="107"/>
      <c r="B236" s="1" t="s">
        <v>499</v>
      </c>
      <c r="C236" s="1" t="s">
        <v>173</v>
      </c>
      <c r="D236" s="1">
        <v>1.8169999999999999</v>
      </c>
    </row>
    <row r="237" spans="1:4" x14ac:dyDescent="0.25">
      <c r="A237" s="50"/>
      <c r="B237" s="50"/>
      <c r="C237" s="50"/>
      <c r="D237" s="7">
        <f>SUM(D232:D236)</f>
        <v>8.363999999999999</v>
      </c>
    </row>
    <row r="239" spans="1:4" x14ac:dyDescent="0.25">
      <c r="A239" s="106" t="s">
        <v>617</v>
      </c>
      <c r="B239" s="1" t="s">
        <v>0</v>
      </c>
      <c r="C239" s="1" t="s">
        <v>202</v>
      </c>
      <c r="D239" s="1" t="s">
        <v>9</v>
      </c>
    </row>
    <row r="240" spans="1:4" x14ac:dyDescent="0.25">
      <c r="A240" s="107"/>
      <c r="B240" s="1" t="s">
        <v>499</v>
      </c>
      <c r="C240" s="1" t="s">
        <v>173</v>
      </c>
      <c r="D240" s="1">
        <v>1.8169999999999999</v>
      </c>
    </row>
    <row r="241" spans="1:4" x14ac:dyDescent="0.25">
      <c r="A241" s="107"/>
      <c r="B241" s="1" t="s">
        <v>618</v>
      </c>
      <c r="C241" s="1" t="s">
        <v>271</v>
      </c>
      <c r="D241" s="1">
        <v>3.0249999999999999</v>
      </c>
    </row>
    <row r="242" spans="1:4" x14ac:dyDescent="0.25">
      <c r="A242" s="107"/>
      <c r="B242" s="1" t="s">
        <v>23</v>
      </c>
      <c r="C242" s="1" t="s">
        <v>292</v>
      </c>
      <c r="D242" s="1">
        <v>2.3090000000000002</v>
      </c>
    </row>
    <row r="243" spans="1:4" x14ac:dyDescent="0.25">
      <c r="A243" s="107"/>
      <c r="B243" s="1" t="s">
        <v>248</v>
      </c>
      <c r="C243" s="1" t="s">
        <v>11</v>
      </c>
      <c r="D243" s="1">
        <v>0.222</v>
      </c>
    </row>
    <row r="244" spans="1:4" x14ac:dyDescent="0.25">
      <c r="A244" s="107"/>
      <c r="B244" s="1" t="s">
        <v>340</v>
      </c>
      <c r="C244" s="1" t="s">
        <v>10</v>
      </c>
      <c r="D244" s="1">
        <v>0.5</v>
      </c>
    </row>
    <row r="245" spans="1:4" x14ac:dyDescent="0.25">
      <c r="A245" s="107"/>
      <c r="B245" s="1" t="s">
        <v>527</v>
      </c>
      <c r="C245" s="1" t="s">
        <v>11</v>
      </c>
      <c r="D245" s="1">
        <v>0.18</v>
      </c>
    </row>
    <row r="246" spans="1:4" x14ac:dyDescent="0.25">
      <c r="A246" s="50"/>
      <c r="B246" s="50"/>
      <c r="C246" s="50"/>
      <c r="D246" s="7">
        <f>SUM(D240:D245)</f>
        <v>8.0530000000000008</v>
      </c>
    </row>
    <row r="252" spans="1:4" x14ac:dyDescent="0.25">
      <c r="A252" s="106" t="s">
        <v>619</v>
      </c>
      <c r="B252" s="1" t="s">
        <v>0</v>
      </c>
      <c r="C252" s="1" t="s">
        <v>202</v>
      </c>
      <c r="D252" s="1" t="s">
        <v>9</v>
      </c>
    </row>
    <row r="253" spans="1:4" x14ac:dyDescent="0.25">
      <c r="A253" s="107"/>
      <c r="B253" s="1" t="s">
        <v>499</v>
      </c>
      <c r="C253" s="1" t="s">
        <v>173</v>
      </c>
      <c r="D253" s="1">
        <v>1.8169999999999999</v>
      </c>
    </row>
    <row r="254" spans="1:4" x14ac:dyDescent="0.25">
      <c r="A254" s="107"/>
      <c r="B254" s="1" t="s">
        <v>618</v>
      </c>
      <c r="C254" s="1" t="s">
        <v>271</v>
      </c>
      <c r="D254" s="1">
        <v>3.0249999999999999</v>
      </c>
    </row>
    <row r="255" spans="1:4" x14ac:dyDescent="0.25">
      <c r="A255" s="107"/>
      <c r="B255" s="1" t="s">
        <v>356</v>
      </c>
      <c r="C255" s="1" t="s">
        <v>171</v>
      </c>
      <c r="D255" s="1">
        <v>0.72</v>
      </c>
    </row>
    <row r="256" spans="1:4" x14ac:dyDescent="0.25">
      <c r="A256" s="107"/>
      <c r="B256" s="1" t="s">
        <v>248</v>
      </c>
      <c r="C256" s="1" t="s">
        <v>11</v>
      </c>
      <c r="D256" s="1">
        <v>0.222</v>
      </c>
    </row>
    <row r="257" spans="1:4" x14ac:dyDescent="0.25">
      <c r="A257" s="107"/>
      <c r="B257" s="1" t="s">
        <v>340</v>
      </c>
      <c r="C257" s="1" t="s">
        <v>10</v>
      </c>
      <c r="D257" s="1">
        <v>0.5</v>
      </c>
    </row>
    <row r="258" spans="1:4" x14ac:dyDescent="0.25">
      <c r="A258" s="107"/>
      <c r="B258" s="1" t="s">
        <v>527</v>
      </c>
      <c r="C258" s="1" t="s">
        <v>11</v>
      </c>
      <c r="D258" s="1">
        <v>0.18</v>
      </c>
    </row>
    <row r="259" spans="1:4" x14ac:dyDescent="0.25">
      <c r="A259" s="50"/>
      <c r="B259" s="50"/>
      <c r="C259" s="50"/>
      <c r="D259" s="7">
        <f>SUM(D253:D258)</f>
        <v>6.4639999999999995</v>
      </c>
    </row>
    <row r="261" spans="1:4" x14ac:dyDescent="0.25">
      <c r="A261" s="106" t="s">
        <v>617</v>
      </c>
      <c r="B261" s="1" t="s">
        <v>0</v>
      </c>
      <c r="C261" s="1" t="s">
        <v>202</v>
      </c>
      <c r="D261" s="1" t="s">
        <v>9</v>
      </c>
    </row>
    <row r="262" spans="1:4" x14ac:dyDescent="0.25">
      <c r="A262" s="107"/>
      <c r="B262" s="1" t="s">
        <v>499</v>
      </c>
      <c r="C262" s="1" t="s">
        <v>173</v>
      </c>
      <c r="D262" s="1">
        <v>1.8169999999999999</v>
      </c>
    </row>
    <row r="263" spans="1:4" x14ac:dyDescent="0.25">
      <c r="A263" s="107"/>
      <c r="B263" s="1" t="s">
        <v>618</v>
      </c>
      <c r="C263" s="1" t="s">
        <v>271</v>
      </c>
      <c r="D263" s="1">
        <v>3.0249999999999999</v>
      </c>
    </row>
    <row r="264" spans="1:4" x14ac:dyDescent="0.25">
      <c r="A264" s="107"/>
      <c r="B264" s="1" t="s">
        <v>22</v>
      </c>
      <c r="C264" s="1" t="s">
        <v>17</v>
      </c>
      <c r="D264" s="1">
        <v>0.3</v>
      </c>
    </row>
    <row r="265" spans="1:4" x14ac:dyDescent="0.25">
      <c r="A265" s="107"/>
      <c r="B265" s="1" t="s">
        <v>23</v>
      </c>
      <c r="C265" s="1" t="s">
        <v>292</v>
      </c>
      <c r="D265" s="1">
        <v>2.3090000000000002</v>
      </c>
    </row>
    <row r="266" spans="1:4" x14ac:dyDescent="0.25">
      <c r="A266" s="107"/>
      <c r="B266" s="1" t="s">
        <v>248</v>
      </c>
      <c r="C266" s="1" t="s">
        <v>11</v>
      </c>
      <c r="D266" s="1">
        <v>0.222</v>
      </c>
    </row>
    <row r="267" spans="1:4" x14ac:dyDescent="0.25">
      <c r="A267" s="107"/>
      <c r="B267" s="1" t="s">
        <v>340</v>
      </c>
      <c r="C267" s="1" t="s">
        <v>10</v>
      </c>
      <c r="D267" s="1">
        <v>0.5</v>
      </c>
    </row>
    <row r="268" spans="1:4" x14ac:dyDescent="0.25">
      <c r="A268" s="107"/>
      <c r="B268" s="1" t="s">
        <v>527</v>
      </c>
      <c r="C268" s="1" t="s">
        <v>11</v>
      </c>
      <c r="D268" s="1">
        <v>0.18</v>
      </c>
    </row>
    <row r="269" spans="1:4" x14ac:dyDescent="0.25">
      <c r="A269" s="50"/>
      <c r="B269" s="50"/>
      <c r="C269" s="50"/>
      <c r="D269" s="7">
        <f>SUM(D262:D268)</f>
        <v>8.3529999999999998</v>
      </c>
    </row>
    <row r="271" spans="1:4" x14ac:dyDescent="0.25">
      <c r="A271" s="106" t="s">
        <v>620</v>
      </c>
      <c r="B271" s="1" t="s">
        <v>0</v>
      </c>
      <c r="C271" s="1" t="s">
        <v>202</v>
      </c>
      <c r="D271" s="1" t="s">
        <v>9</v>
      </c>
    </row>
    <row r="272" spans="1:4" x14ac:dyDescent="0.25">
      <c r="A272" s="107"/>
      <c r="B272" s="1" t="s">
        <v>22</v>
      </c>
      <c r="C272" s="1" t="s">
        <v>621</v>
      </c>
      <c r="D272" s="1">
        <v>1.2</v>
      </c>
    </row>
    <row r="273" spans="1:4" x14ac:dyDescent="0.25">
      <c r="A273" s="107"/>
      <c r="B273" s="1" t="s">
        <v>247</v>
      </c>
      <c r="C273" s="1" t="s">
        <v>10</v>
      </c>
      <c r="D273" s="1">
        <v>0.5</v>
      </c>
    </row>
    <row r="274" spans="1:4" x14ac:dyDescent="0.25">
      <c r="A274" s="107"/>
      <c r="B274" s="1" t="s">
        <v>469</v>
      </c>
      <c r="C274" s="1" t="s">
        <v>292</v>
      </c>
      <c r="D274" s="1">
        <v>2.2000000000000002</v>
      </c>
    </row>
    <row r="275" spans="1:4" x14ac:dyDescent="0.25">
      <c r="A275" s="107"/>
      <c r="B275" s="1" t="s">
        <v>248</v>
      </c>
      <c r="C275" s="1" t="s">
        <v>11</v>
      </c>
      <c r="D275" s="1">
        <v>0.222</v>
      </c>
    </row>
    <row r="276" spans="1:4" x14ac:dyDescent="0.25">
      <c r="A276" s="107"/>
      <c r="B276" s="1" t="s">
        <v>340</v>
      </c>
      <c r="C276" s="1" t="s">
        <v>10</v>
      </c>
      <c r="D276" s="1">
        <v>0.5</v>
      </c>
    </row>
    <row r="277" spans="1:4" x14ac:dyDescent="0.25">
      <c r="A277" s="107"/>
      <c r="B277" s="1" t="s">
        <v>527</v>
      </c>
      <c r="C277" s="1" t="s">
        <v>11</v>
      </c>
      <c r="D277" s="1">
        <v>0.18</v>
      </c>
    </row>
    <row r="278" spans="1:4" x14ac:dyDescent="0.25">
      <c r="A278" s="50"/>
      <c r="B278" s="50"/>
      <c r="C278" s="50"/>
      <c r="D278" s="7">
        <f>SUM(D272:D277)</f>
        <v>4.8020000000000005</v>
      </c>
    </row>
    <row r="280" spans="1:4" x14ac:dyDescent="0.25">
      <c r="A280" s="106" t="s">
        <v>622</v>
      </c>
      <c r="B280" s="1" t="s">
        <v>0</v>
      </c>
      <c r="C280" s="1" t="s">
        <v>202</v>
      </c>
      <c r="D280" s="1" t="s">
        <v>9</v>
      </c>
    </row>
    <row r="281" spans="1:4" x14ac:dyDescent="0.25">
      <c r="A281" s="107"/>
      <c r="B281" s="1" t="s">
        <v>22</v>
      </c>
      <c r="C281" s="1" t="s">
        <v>621</v>
      </c>
      <c r="D281" s="1">
        <v>1.2</v>
      </c>
    </row>
    <row r="282" spans="1:4" x14ac:dyDescent="0.25">
      <c r="A282" s="107"/>
      <c r="B282" s="1" t="s">
        <v>469</v>
      </c>
      <c r="C282" s="1" t="s">
        <v>10</v>
      </c>
      <c r="D282" s="1">
        <v>2.75</v>
      </c>
    </row>
    <row r="283" spans="1:4" x14ac:dyDescent="0.25">
      <c r="A283" s="107"/>
      <c r="B283" s="1" t="s">
        <v>248</v>
      </c>
      <c r="C283" s="1" t="s">
        <v>11</v>
      </c>
      <c r="D283" s="1">
        <v>0.222</v>
      </c>
    </row>
    <row r="284" spans="1:4" x14ac:dyDescent="0.25">
      <c r="A284" s="107"/>
      <c r="B284" s="1" t="s">
        <v>340</v>
      </c>
      <c r="C284" s="1" t="s">
        <v>10</v>
      </c>
      <c r="D284" s="1">
        <v>0.5</v>
      </c>
    </row>
    <row r="285" spans="1:4" x14ac:dyDescent="0.25">
      <c r="A285" s="107"/>
      <c r="B285" s="1" t="s">
        <v>527</v>
      </c>
      <c r="C285" s="1" t="s">
        <v>11</v>
      </c>
      <c r="D285" s="1">
        <v>0.18</v>
      </c>
    </row>
    <row r="286" spans="1:4" x14ac:dyDescent="0.25">
      <c r="A286" s="50"/>
      <c r="B286" s="50"/>
      <c r="C286" s="50"/>
      <c r="D286" s="7">
        <f>SUM(D281:D285)</f>
        <v>4.8520000000000003</v>
      </c>
    </row>
    <row r="288" spans="1:4" x14ac:dyDescent="0.25">
      <c r="A288" s="106" t="s">
        <v>623</v>
      </c>
      <c r="B288" s="1" t="s">
        <v>0</v>
      </c>
      <c r="C288" s="1" t="s">
        <v>202</v>
      </c>
      <c r="D288" s="1" t="s">
        <v>9</v>
      </c>
    </row>
    <row r="289" spans="1:4" x14ac:dyDescent="0.25">
      <c r="A289" s="107"/>
      <c r="B289" s="1" t="s">
        <v>22</v>
      </c>
      <c r="C289" s="1" t="s">
        <v>621</v>
      </c>
      <c r="D289" s="1">
        <v>1.2</v>
      </c>
    </row>
    <row r="290" spans="1:4" x14ac:dyDescent="0.25">
      <c r="A290" s="107"/>
      <c r="B290" s="1" t="s">
        <v>469</v>
      </c>
      <c r="C290" s="1" t="s">
        <v>10</v>
      </c>
      <c r="D290" s="1">
        <v>2.75</v>
      </c>
    </row>
    <row r="291" spans="1:4" x14ac:dyDescent="0.25">
      <c r="A291" s="107"/>
      <c r="B291" s="1" t="s">
        <v>248</v>
      </c>
      <c r="C291" s="1" t="s">
        <v>11</v>
      </c>
      <c r="D291" s="1">
        <v>0.222</v>
      </c>
    </row>
    <row r="292" spans="1:4" x14ac:dyDescent="0.25">
      <c r="A292" s="107"/>
      <c r="B292" s="1" t="s">
        <v>340</v>
      </c>
      <c r="C292" s="1" t="s">
        <v>10</v>
      </c>
      <c r="D292" s="1">
        <v>0.5</v>
      </c>
    </row>
    <row r="293" spans="1:4" x14ac:dyDescent="0.25">
      <c r="A293" s="107"/>
      <c r="B293" s="1" t="s">
        <v>23</v>
      </c>
      <c r="C293" s="1" t="s">
        <v>292</v>
      </c>
      <c r="D293" s="1">
        <v>2.3090000000000002</v>
      </c>
    </row>
    <row r="294" spans="1:4" x14ac:dyDescent="0.25">
      <c r="A294" s="107"/>
      <c r="B294" s="1" t="s">
        <v>527</v>
      </c>
      <c r="C294" s="1" t="s">
        <v>11</v>
      </c>
      <c r="D294" s="1">
        <v>0.18</v>
      </c>
    </row>
    <row r="295" spans="1:4" x14ac:dyDescent="0.25">
      <c r="A295" s="50"/>
      <c r="B295" s="50"/>
      <c r="C295" s="50"/>
      <c r="D295" s="7">
        <f>SUM(D289:D294)</f>
        <v>7.1610000000000005</v>
      </c>
    </row>
    <row r="299" spans="1:4" ht="27" customHeight="1" x14ac:dyDescent="0.25"/>
    <row r="300" spans="1:4" ht="15" customHeight="1" x14ac:dyDescent="0.25"/>
    <row r="302" spans="1:4" x14ac:dyDescent="0.25">
      <c r="A302" s="106" t="s">
        <v>624</v>
      </c>
      <c r="B302" s="1" t="s">
        <v>0</v>
      </c>
      <c r="C302" s="1" t="s">
        <v>202</v>
      </c>
      <c r="D302" s="1" t="s">
        <v>9</v>
      </c>
    </row>
    <row r="303" spans="1:4" x14ac:dyDescent="0.25">
      <c r="A303" s="107"/>
      <c r="B303" s="1" t="s">
        <v>22</v>
      </c>
      <c r="C303" s="1" t="s">
        <v>621</v>
      </c>
      <c r="D303" s="1">
        <v>1.2</v>
      </c>
    </row>
    <row r="304" spans="1:4" x14ac:dyDescent="0.25">
      <c r="A304" s="107"/>
      <c r="B304" s="1" t="s">
        <v>469</v>
      </c>
      <c r="C304" s="1" t="s">
        <v>292</v>
      </c>
      <c r="D304" s="1">
        <v>2.75</v>
      </c>
    </row>
    <row r="305" spans="1:4" x14ac:dyDescent="0.25">
      <c r="A305" s="107"/>
      <c r="B305" s="1" t="s">
        <v>248</v>
      </c>
      <c r="C305" s="1" t="s">
        <v>11</v>
      </c>
      <c r="D305" s="1">
        <v>0.222</v>
      </c>
    </row>
    <row r="306" spans="1:4" x14ac:dyDescent="0.25">
      <c r="A306" s="107"/>
      <c r="B306" s="1" t="s">
        <v>340</v>
      </c>
      <c r="C306" s="1" t="s">
        <v>10</v>
      </c>
      <c r="D306" s="1">
        <v>0.5</v>
      </c>
    </row>
    <row r="307" spans="1:4" x14ac:dyDescent="0.25">
      <c r="A307" s="107"/>
      <c r="B307" s="1" t="s">
        <v>356</v>
      </c>
      <c r="C307" s="1" t="s">
        <v>171</v>
      </c>
      <c r="D307" s="1">
        <v>0.72</v>
      </c>
    </row>
    <row r="308" spans="1:4" x14ac:dyDescent="0.25">
      <c r="A308" s="107"/>
      <c r="B308" s="1" t="s">
        <v>527</v>
      </c>
      <c r="C308" s="1" t="s">
        <v>11</v>
      </c>
      <c r="D308" s="1">
        <v>0.18</v>
      </c>
    </row>
    <row r="309" spans="1:4" x14ac:dyDescent="0.25">
      <c r="A309" s="50"/>
      <c r="B309" s="50"/>
      <c r="C309" s="50"/>
      <c r="D309" s="7">
        <f>SUM(D303:D308)</f>
        <v>5.5720000000000001</v>
      </c>
    </row>
    <row r="311" spans="1:4" x14ac:dyDescent="0.25">
      <c r="A311" s="106" t="s">
        <v>700</v>
      </c>
      <c r="B311" s="1" t="s">
        <v>0</v>
      </c>
      <c r="C311" s="1" t="s">
        <v>202</v>
      </c>
      <c r="D311" s="1" t="s">
        <v>9</v>
      </c>
    </row>
    <row r="312" spans="1:4" x14ac:dyDescent="0.25">
      <c r="A312" s="107"/>
      <c r="B312" s="1" t="s">
        <v>22</v>
      </c>
      <c r="C312" s="1" t="s">
        <v>213</v>
      </c>
      <c r="D312" s="1">
        <v>0.15</v>
      </c>
    </row>
    <row r="313" spans="1:4" x14ac:dyDescent="0.25">
      <c r="A313" s="107"/>
      <c r="B313" s="1" t="s">
        <v>331</v>
      </c>
      <c r="C313" s="1" t="s">
        <v>660</v>
      </c>
      <c r="D313" s="1">
        <v>8.3000000000000004E-2</v>
      </c>
    </row>
    <row r="314" spans="1:4" x14ac:dyDescent="0.25">
      <c r="A314" s="107"/>
      <c r="B314" s="1" t="s">
        <v>657</v>
      </c>
      <c r="C314" s="1" t="s">
        <v>661</v>
      </c>
      <c r="D314" s="1">
        <v>0.61299999999999999</v>
      </c>
    </row>
    <row r="315" spans="1:4" x14ac:dyDescent="0.25">
      <c r="A315" s="107"/>
      <c r="B315" s="1" t="s">
        <v>337</v>
      </c>
      <c r="C315" s="1" t="s">
        <v>662</v>
      </c>
      <c r="D315" s="1">
        <v>0.13</v>
      </c>
    </row>
    <row r="316" spans="1:4" x14ac:dyDescent="0.25">
      <c r="A316" s="107"/>
      <c r="B316" s="1" t="s">
        <v>222</v>
      </c>
      <c r="C316" s="1" t="s">
        <v>663</v>
      </c>
      <c r="D316" s="1">
        <v>0.05</v>
      </c>
    </row>
    <row r="317" spans="1:4" x14ac:dyDescent="0.25">
      <c r="A317" s="47"/>
      <c r="B317" s="48"/>
      <c r="C317" s="49"/>
      <c r="D317" s="7">
        <f>SUM(D312:D316)</f>
        <v>1.026</v>
      </c>
    </row>
    <row r="319" spans="1:4" x14ac:dyDescent="0.25">
      <c r="A319" s="72" t="s">
        <v>664</v>
      </c>
      <c r="B319" s="1" t="s">
        <v>0</v>
      </c>
      <c r="C319" s="1" t="s">
        <v>202</v>
      </c>
      <c r="D319" s="1" t="s">
        <v>9</v>
      </c>
    </row>
    <row r="320" spans="1:4" x14ac:dyDescent="0.25">
      <c r="A320" s="73"/>
      <c r="B320" s="1" t="s">
        <v>460</v>
      </c>
      <c r="C320" s="1" t="s">
        <v>669</v>
      </c>
      <c r="D320" s="1">
        <v>2.7</v>
      </c>
    </row>
    <row r="321" spans="1:4" x14ac:dyDescent="0.25">
      <c r="A321" s="73"/>
      <c r="B321" s="1" t="s">
        <v>361</v>
      </c>
      <c r="C321" s="1" t="s">
        <v>666</v>
      </c>
      <c r="D321" s="1">
        <v>9.4499999999999993</v>
      </c>
    </row>
    <row r="322" spans="1:4" x14ac:dyDescent="0.25">
      <c r="A322" s="73"/>
      <c r="B322" s="1" t="s">
        <v>411</v>
      </c>
      <c r="C322" s="1" t="s">
        <v>166</v>
      </c>
      <c r="D322" s="1">
        <v>1.2749999999999999</v>
      </c>
    </row>
    <row r="323" spans="1:4" x14ac:dyDescent="0.25">
      <c r="A323" s="73"/>
      <c r="B323" s="1" t="s">
        <v>665</v>
      </c>
      <c r="C323" s="1" t="s">
        <v>29</v>
      </c>
      <c r="D323" s="1">
        <v>0.46</v>
      </c>
    </row>
    <row r="324" spans="1:4" x14ac:dyDescent="0.25">
      <c r="A324" s="73"/>
      <c r="B324" s="1" t="s">
        <v>667</v>
      </c>
      <c r="C324" s="1" t="s">
        <v>29</v>
      </c>
      <c r="D324" s="1">
        <v>0.51</v>
      </c>
    </row>
    <row r="325" spans="1:4" x14ac:dyDescent="0.25">
      <c r="A325" s="73"/>
      <c r="B325" s="1" t="s">
        <v>413</v>
      </c>
      <c r="C325" s="1" t="s">
        <v>29</v>
      </c>
      <c r="D325" s="1">
        <v>0.73</v>
      </c>
    </row>
    <row r="326" spans="1:4" x14ac:dyDescent="0.25">
      <c r="A326" s="73"/>
      <c r="B326" s="1" t="s">
        <v>391</v>
      </c>
      <c r="C326" s="1" t="s">
        <v>167</v>
      </c>
      <c r="D326" s="1">
        <v>0.15</v>
      </c>
    </row>
    <row r="327" spans="1:4" x14ac:dyDescent="0.25">
      <c r="A327" s="73"/>
      <c r="B327" s="1" t="s">
        <v>668</v>
      </c>
      <c r="C327" s="1" t="s">
        <v>392</v>
      </c>
      <c r="D327" s="1">
        <v>0.02</v>
      </c>
    </row>
    <row r="328" spans="1:4" x14ac:dyDescent="0.25">
      <c r="A328" s="50"/>
      <c r="B328" s="50"/>
      <c r="C328" s="50"/>
      <c r="D328" s="7">
        <f>SUM(D320:D327)</f>
        <v>15.295</v>
      </c>
    </row>
    <row r="330" spans="1:4" x14ac:dyDescent="0.25">
      <c r="A330" s="72" t="s">
        <v>675</v>
      </c>
      <c r="B330" s="1" t="s">
        <v>0</v>
      </c>
      <c r="C330" s="1" t="s">
        <v>202</v>
      </c>
      <c r="D330" s="1" t="s">
        <v>9</v>
      </c>
    </row>
    <row r="331" spans="1:4" x14ac:dyDescent="0.25">
      <c r="A331" s="73"/>
      <c r="B331" s="1" t="s">
        <v>671</v>
      </c>
      <c r="C331" s="1" t="s">
        <v>168</v>
      </c>
      <c r="D331" s="1">
        <v>0.72</v>
      </c>
    </row>
    <row r="332" spans="1:4" x14ac:dyDescent="0.25">
      <c r="A332" s="73"/>
      <c r="B332" s="1" t="s">
        <v>420</v>
      </c>
      <c r="C332" s="1" t="s">
        <v>651</v>
      </c>
      <c r="D332" s="1">
        <v>1.48</v>
      </c>
    </row>
    <row r="333" spans="1:4" x14ac:dyDescent="0.25">
      <c r="A333" s="73"/>
      <c r="B333" s="1" t="s">
        <v>331</v>
      </c>
      <c r="C333" s="1" t="s">
        <v>653</v>
      </c>
      <c r="D333" s="1">
        <v>1.0999999999999999E-2</v>
      </c>
    </row>
    <row r="334" spans="1:4" x14ac:dyDescent="0.25">
      <c r="A334" s="73"/>
      <c r="B334" s="1" t="s">
        <v>673</v>
      </c>
      <c r="C334" s="1" t="s">
        <v>654</v>
      </c>
      <c r="D334" s="1">
        <v>2.5000000000000001E-2</v>
      </c>
    </row>
    <row r="335" spans="1:4" x14ac:dyDescent="0.25">
      <c r="A335" s="73"/>
      <c r="B335" s="1" t="s">
        <v>236</v>
      </c>
      <c r="C335" s="1" t="s">
        <v>676</v>
      </c>
      <c r="D335" s="1">
        <v>0.13</v>
      </c>
    </row>
    <row r="336" spans="1:4" x14ac:dyDescent="0.25">
      <c r="A336" s="73"/>
      <c r="B336" s="1" t="s">
        <v>674</v>
      </c>
      <c r="C336" s="1" t="s">
        <v>11</v>
      </c>
      <c r="D336" s="1">
        <v>0.24</v>
      </c>
    </row>
    <row r="337" spans="1:4" x14ac:dyDescent="0.25">
      <c r="A337" s="73"/>
      <c r="B337" s="1" t="s">
        <v>337</v>
      </c>
      <c r="C337" s="1" t="s">
        <v>12</v>
      </c>
      <c r="D337" s="1">
        <v>0.12</v>
      </c>
    </row>
    <row r="338" spans="1:4" x14ac:dyDescent="0.25">
      <c r="A338" s="73"/>
      <c r="B338" s="1" t="s">
        <v>361</v>
      </c>
      <c r="C338" s="1" t="s">
        <v>13</v>
      </c>
      <c r="D338" s="1">
        <v>2.25</v>
      </c>
    </row>
    <row r="339" spans="1:4" x14ac:dyDescent="0.25">
      <c r="A339" s="50"/>
      <c r="B339" s="50"/>
      <c r="C339" s="50"/>
      <c r="D339" s="7">
        <f>SUM(D331:D338)</f>
        <v>4.976</v>
      </c>
    </row>
    <row r="341" spans="1:4" x14ac:dyDescent="0.25">
      <c r="A341" s="72" t="s">
        <v>677</v>
      </c>
      <c r="B341" s="1" t="s">
        <v>0</v>
      </c>
      <c r="C341" s="1" t="s">
        <v>202</v>
      </c>
      <c r="D341" s="1" t="s">
        <v>9</v>
      </c>
    </row>
    <row r="342" spans="1:4" x14ac:dyDescent="0.25">
      <c r="A342" s="73"/>
      <c r="B342" s="1" t="s">
        <v>671</v>
      </c>
      <c r="C342" s="1" t="s">
        <v>168</v>
      </c>
      <c r="D342" s="1">
        <v>0.72</v>
      </c>
    </row>
    <row r="343" spans="1:4" x14ac:dyDescent="0.25">
      <c r="A343" s="73"/>
      <c r="B343" s="1" t="s">
        <v>420</v>
      </c>
      <c r="C343" s="1" t="s">
        <v>651</v>
      </c>
      <c r="D343" s="1">
        <v>1.48</v>
      </c>
    </row>
    <row r="344" spans="1:4" x14ac:dyDescent="0.25">
      <c r="A344" s="73"/>
      <c r="B344" s="1" t="s">
        <v>331</v>
      </c>
      <c r="C344" s="1" t="s">
        <v>653</v>
      </c>
      <c r="D344" s="1">
        <v>1.0999999999999999E-2</v>
      </c>
    </row>
    <row r="345" spans="1:4" x14ac:dyDescent="0.25">
      <c r="A345" s="73"/>
      <c r="B345" s="1" t="s">
        <v>673</v>
      </c>
      <c r="C345" s="1" t="s">
        <v>654</v>
      </c>
      <c r="D345" s="1">
        <v>2.5000000000000001E-2</v>
      </c>
    </row>
    <row r="346" spans="1:4" x14ac:dyDescent="0.25">
      <c r="A346" s="73"/>
      <c r="B346" s="1" t="s">
        <v>236</v>
      </c>
      <c r="C346" s="1" t="s">
        <v>676</v>
      </c>
      <c r="D346" s="1">
        <v>0.13</v>
      </c>
    </row>
    <row r="347" spans="1:4" x14ac:dyDescent="0.25">
      <c r="A347" s="73"/>
      <c r="B347" s="1" t="s">
        <v>674</v>
      </c>
      <c r="C347" s="1" t="s">
        <v>11</v>
      </c>
      <c r="D347" s="1">
        <v>0.24</v>
      </c>
    </row>
    <row r="348" spans="1:4" x14ac:dyDescent="0.25">
      <c r="A348" s="73"/>
      <c r="B348" s="1" t="s">
        <v>337</v>
      </c>
      <c r="C348" s="1" t="s">
        <v>12</v>
      </c>
      <c r="D348" s="1">
        <v>0.12</v>
      </c>
    </row>
    <row r="349" spans="1:4" x14ac:dyDescent="0.25">
      <c r="A349" s="73"/>
      <c r="B349" s="1" t="s">
        <v>411</v>
      </c>
      <c r="C349" s="1" t="s">
        <v>167</v>
      </c>
      <c r="D349" s="1">
        <v>0.45</v>
      </c>
    </row>
    <row r="350" spans="1:4" x14ac:dyDescent="0.25">
      <c r="A350" s="73"/>
      <c r="B350" s="1" t="s">
        <v>678</v>
      </c>
      <c r="C350" s="1" t="s">
        <v>13</v>
      </c>
      <c r="D350" s="1">
        <v>1.67</v>
      </c>
    </row>
    <row r="351" spans="1:4" x14ac:dyDescent="0.25">
      <c r="A351" s="50"/>
      <c r="B351" s="50"/>
      <c r="C351" s="50"/>
      <c r="D351" s="7">
        <f>SUM(D342:D350)</f>
        <v>4.8460000000000001</v>
      </c>
    </row>
    <row r="353" spans="1:4" x14ac:dyDescent="0.25">
      <c r="A353" s="72" t="s">
        <v>679</v>
      </c>
      <c r="B353" s="1" t="s">
        <v>0</v>
      </c>
      <c r="C353" s="1" t="s">
        <v>202</v>
      </c>
      <c r="D353" s="1" t="s">
        <v>9</v>
      </c>
    </row>
    <row r="354" spans="1:4" x14ac:dyDescent="0.25">
      <c r="A354" s="73"/>
      <c r="B354" s="1" t="s">
        <v>671</v>
      </c>
      <c r="C354" s="1" t="s">
        <v>168</v>
      </c>
      <c r="D354" s="1">
        <v>0.72</v>
      </c>
    </row>
    <row r="355" spans="1:4" x14ac:dyDescent="0.25">
      <c r="A355" s="73"/>
      <c r="B355" s="1" t="s">
        <v>420</v>
      </c>
      <c r="C355" s="1" t="s">
        <v>651</v>
      </c>
      <c r="D355" s="1">
        <v>1.48</v>
      </c>
    </row>
    <row r="356" spans="1:4" x14ac:dyDescent="0.25">
      <c r="A356" s="73"/>
      <c r="B356" s="1" t="s">
        <v>331</v>
      </c>
      <c r="C356" s="1" t="s">
        <v>653</v>
      </c>
      <c r="D356" s="1">
        <v>1.0999999999999999E-2</v>
      </c>
    </row>
    <row r="357" spans="1:4" x14ac:dyDescent="0.25">
      <c r="A357" s="73"/>
      <c r="B357" s="1" t="s">
        <v>673</v>
      </c>
      <c r="C357" s="1" t="s">
        <v>654</v>
      </c>
      <c r="D357" s="1">
        <v>2.5000000000000001E-2</v>
      </c>
    </row>
    <row r="358" spans="1:4" x14ac:dyDescent="0.25">
      <c r="A358" s="73"/>
      <c r="B358" s="1" t="s">
        <v>236</v>
      </c>
      <c r="C358" s="1" t="s">
        <v>676</v>
      </c>
      <c r="D358" s="1">
        <v>0.13</v>
      </c>
    </row>
    <row r="359" spans="1:4" x14ac:dyDescent="0.25">
      <c r="A359" s="73"/>
      <c r="B359" s="1" t="s">
        <v>674</v>
      </c>
      <c r="C359" s="1" t="s">
        <v>11</v>
      </c>
      <c r="D359" s="1">
        <v>0.24</v>
      </c>
    </row>
    <row r="360" spans="1:4" x14ac:dyDescent="0.25">
      <c r="A360" s="73"/>
      <c r="B360" s="1" t="s">
        <v>337</v>
      </c>
      <c r="C360" s="1" t="s">
        <v>12</v>
      </c>
      <c r="D360" s="1">
        <v>0.12</v>
      </c>
    </row>
    <row r="361" spans="1:4" x14ac:dyDescent="0.25">
      <c r="A361" s="73"/>
      <c r="B361" s="1" t="s">
        <v>680</v>
      </c>
      <c r="C361" s="1" t="s">
        <v>13</v>
      </c>
      <c r="D361" s="1">
        <v>2.5</v>
      </c>
    </row>
    <row r="362" spans="1:4" x14ac:dyDescent="0.25">
      <c r="A362" s="50"/>
      <c r="B362" s="50"/>
      <c r="C362" s="50"/>
      <c r="D362" s="7">
        <f>SUM(D354:D361)</f>
        <v>5.226</v>
      </c>
    </row>
    <row r="364" spans="1:4" x14ac:dyDescent="0.25">
      <c r="A364" s="72" t="s">
        <v>681</v>
      </c>
      <c r="B364" s="1" t="s">
        <v>0</v>
      </c>
      <c r="C364" s="1" t="s">
        <v>202</v>
      </c>
      <c r="D364" s="1" t="s">
        <v>9</v>
      </c>
    </row>
    <row r="365" spans="1:4" x14ac:dyDescent="0.25">
      <c r="A365" s="73"/>
      <c r="B365" s="1" t="s">
        <v>671</v>
      </c>
      <c r="C365" s="1" t="s">
        <v>168</v>
      </c>
      <c r="D365" s="1">
        <v>0.72</v>
      </c>
    </row>
    <row r="366" spans="1:4" x14ac:dyDescent="0.25">
      <c r="A366" s="73"/>
      <c r="B366" s="1" t="s">
        <v>420</v>
      </c>
      <c r="C366" s="1" t="s">
        <v>651</v>
      </c>
      <c r="D366" s="1">
        <v>1.48</v>
      </c>
    </row>
    <row r="367" spans="1:4" x14ac:dyDescent="0.25">
      <c r="A367" s="73"/>
      <c r="B367" s="1" t="s">
        <v>331</v>
      </c>
      <c r="C367" s="1" t="s">
        <v>653</v>
      </c>
      <c r="D367" s="1">
        <v>1.0999999999999999E-2</v>
      </c>
    </row>
    <row r="368" spans="1:4" x14ac:dyDescent="0.25">
      <c r="A368" s="73"/>
      <c r="B368" s="1" t="s">
        <v>673</v>
      </c>
      <c r="C368" s="1" t="s">
        <v>654</v>
      </c>
      <c r="D368" s="1">
        <v>2.5000000000000001E-2</v>
      </c>
    </row>
    <row r="369" spans="1:4" ht="15" customHeight="1" x14ac:dyDescent="0.25">
      <c r="A369" s="73"/>
      <c r="B369" s="1" t="s">
        <v>236</v>
      </c>
      <c r="C369" s="1" t="s">
        <v>676</v>
      </c>
      <c r="D369" s="1">
        <v>0.13</v>
      </c>
    </row>
    <row r="370" spans="1:4" x14ac:dyDescent="0.25">
      <c r="A370" s="73"/>
      <c r="B370" s="1" t="s">
        <v>674</v>
      </c>
      <c r="C370" s="1" t="s">
        <v>11</v>
      </c>
      <c r="D370" s="1">
        <v>0.24</v>
      </c>
    </row>
    <row r="371" spans="1:4" x14ac:dyDescent="0.25">
      <c r="A371" s="73"/>
      <c r="B371" s="1" t="s">
        <v>337</v>
      </c>
      <c r="C371" s="1" t="s">
        <v>12</v>
      </c>
      <c r="D371" s="1">
        <v>0.12</v>
      </c>
    </row>
    <row r="372" spans="1:4" x14ac:dyDescent="0.25">
      <c r="A372" s="73"/>
      <c r="B372" s="1" t="s">
        <v>682</v>
      </c>
      <c r="C372" s="1" t="s">
        <v>13</v>
      </c>
      <c r="D372" s="1">
        <v>2.85</v>
      </c>
    </row>
    <row r="373" spans="1:4" x14ac:dyDescent="0.25">
      <c r="A373" s="50"/>
      <c r="B373" s="50"/>
      <c r="C373" s="50"/>
      <c r="D373" s="7">
        <f>SUM(D365:D372)</f>
        <v>5.5760000000000005</v>
      </c>
    </row>
    <row r="375" spans="1:4" x14ac:dyDescent="0.25">
      <c r="A375" s="72" t="s">
        <v>683</v>
      </c>
      <c r="B375" s="1" t="s">
        <v>0</v>
      </c>
      <c r="C375" s="1" t="s">
        <v>202</v>
      </c>
      <c r="D375" s="1" t="s">
        <v>9</v>
      </c>
    </row>
    <row r="376" spans="1:4" x14ac:dyDescent="0.25">
      <c r="A376" s="73"/>
      <c r="B376" s="1" t="s">
        <v>420</v>
      </c>
      <c r="C376" s="1" t="s">
        <v>696</v>
      </c>
      <c r="D376" s="1">
        <v>1.125</v>
      </c>
    </row>
    <row r="377" spans="1:4" x14ac:dyDescent="0.25">
      <c r="A377" s="73"/>
      <c r="B377" s="1" t="s">
        <v>684</v>
      </c>
      <c r="C377" s="1" t="s">
        <v>697</v>
      </c>
      <c r="D377" s="1">
        <v>0.78800000000000003</v>
      </c>
    </row>
    <row r="378" spans="1:4" x14ac:dyDescent="0.25">
      <c r="A378" s="73"/>
      <c r="B378" s="1" t="s">
        <v>685</v>
      </c>
      <c r="C378" s="1" t="s">
        <v>17</v>
      </c>
      <c r="D378" s="1">
        <v>0.112</v>
      </c>
    </row>
    <row r="379" spans="1:4" x14ac:dyDescent="0.25">
      <c r="A379" s="73"/>
      <c r="B379" s="1" t="s">
        <v>331</v>
      </c>
      <c r="C379" s="1" t="s">
        <v>557</v>
      </c>
      <c r="D379" s="1">
        <v>0.05</v>
      </c>
    </row>
    <row r="380" spans="1:4" x14ac:dyDescent="0.25">
      <c r="A380" s="73"/>
      <c r="B380" s="1" t="s">
        <v>535</v>
      </c>
      <c r="C380" s="1" t="s">
        <v>698</v>
      </c>
      <c r="D380" s="1">
        <v>0.05</v>
      </c>
    </row>
    <row r="381" spans="1:4" x14ac:dyDescent="0.25">
      <c r="A381" s="73"/>
      <c r="B381" s="1" t="s">
        <v>687</v>
      </c>
      <c r="C381" s="1" t="s">
        <v>17</v>
      </c>
      <c r="D381" s="1">
        <v>0.73499999999999999</v>
      </c>
    </row>
    <row r="382" spans="1:4" x14ac:dyDescent="0.25">
      <c r="A382" s="73"/>
      <c r="B382" s="1" t="s">
        <v>688</v>
      </c>
      <c r="C382" s="1" t="s">
        <v>13</v>
      </c>
      <c r="D382" s="1">
        <v>1.86</v>
      </c>
    </row>
    <row r="383" spans="1:4" ht="15" customHeight="1" x14ac:dyDescent="0.25">
      <c r="A383" s="73"/>
      <c r="B383" s="1" t="s">
        <v>361</v>
      </c>
      <c r="C383" s="1" t="s">
        <v>699</v>
      </c>
      <c r="D383" s="1">
        <v>0.56999999999999995</v>
      </c>
    </row>
    <row r="384" spans="1:4" ht="15" customHeight="1" x14ac:dyDescent="0.25">
      <c r="A384" s="73"/>
      <c r="B384" s="1" t="s">
        <v>689</v>
      </c>
      <c r="C384" s="1" t="s">
        <v>528</v>
      </c>
      <c r="D384" s="1">
        <v>0.1</v>
      </c>
    </row>
    <row r="385" spans="1:4" x14ac:dyDescent="0.25">
      <c r="A385" s="50"/>
      <c r="B385" s="50"/>
      <c r="C385" s="50"/>
      <c r="D385" s="7">
        <f>SUM(D376:D384)</f>
        <v>5.39</v>
      </c>
    </row>
    <row r="387" spans="1:4" x14ac:dyDescent="0.25">
      <c r="A387" s="72" t="s">
        <v>690</v>
      </c>
      <c r="B387" s="1" t="s">
        <v>0</v>
      </c>
      <c r="C387" s="1" t="s">
        <v>202</v>
      </c>
      <c r="D387" s="1" t="s">
        <v>9</v>
      </c>
    </row>
    <row r="388" spans="1:4" x14ac:dyDescent="0.25">
      <c r="A388" s="73"/>
      <c r="B388" s="1" t="s">
        <v>420</v>
      </c>
      <c r="C388" s="1" t="s">
        <v>696</v>
      </c>
      <c r="D388" s="1">
        <v>1.125</v>
      </c>
    </row>
    <row r="389" spans="1:4" x14ac:dyDescent="0.25">
      <c r="A389" s="73"/>
      <c r="B389" s="1" t="s">
        <v>684</v>
      </c>
      <c r="C389" s="1" t="s">
        <v>697</v>
      </c>
      <c r="D389" s="1">
        <v>0.78800000000000003</v>
      </c>
    </row>
    <row r="390" spans="1:4" x14ac:dyDescent="0.25">
      <c r="A390" s="73"/>
      <c r="B390" s="1" t="s">
        <v>685</v>
      </c>
      <c r="C390" s="1" t="s">
        <v>17</v>
      </c>
      <c r="D390" s="1">
        <v>0.112</v>
      </c>
    </row>
    <row r="391" spans="1:4" x14ac:dyDescent="0.25">
      <c r="A391" s="73"/>
      <c r="B391" s="1" t="s">
        <v>331</v>
      </c>
      <c r="C391" s="1" t="s">
        <v>557</v>
      </c>
      <c r="D391" s="1">
        <v>0.05</v>
      </c>
    </row>
    <row r="392" spans="1:4" x14ac:dyDescent="0.25">
      <c r="A392" s="73"/>
      <c r="B392" s="1" t="s">
        <v>692</v>
      </c>
      <c r="C392" s="1" t="s">
        <v>165</v>
      </c>
      <c r="D392" s="1">
        <v>1.5</v>
      </c>
    </row>
    <row r="393" spans="1:4" x14ac:dyDescent="0.25">
      <c r="A393" s="73"/>
      <c r="B393" s="1" t="s">
        <v>693</v>
      </c>
      <c r="C393" s="1" t="s">
        <v>357</v>
      </c>
      <c r="D393" s="1">
        <v>0.55000000000000004</v>
      </c>
    </row>
    <row r="394" spans="1:4" x14ac:dyDescent="0.25">
      <c r="A394" s="73"/>
      <c r="B394" s="1" t="s">
        <v>694</v>
      </c>
      <c r="C394" s="1" t="s">
        <v>13</v>
      </c>
      <c r="D394" s="1">
        <v>1.05</v>
      </c>
    </row>
    <row r="395" spans="1:4" x14ac:dyDescent="0.25">
      <c r="A395" s="73"/>
      <c r="B395" s="1" t="s">
        <v>535</v>
      </c>
      <c r="C395" s="1" t="s">
        <v>698</v>
      </c>
      <c r="D395" s="1">
        <v>0.05</v>
      </c>
    </row>
    <row r="396" spans="1:4" x14ac:dyDescent="0.25">
      <c r="A396" s="93"/>
      <c r="B396" s="1" t="s">
        <v>687</v>
      </c>
      <c r="C396" s="1" t="s">
        <v>17</v>
      </c>
      <c r="D396" s="1">
        <v>0.73499999999999999</v>
      </c>
    </row>
    <row r="397" spans="1:4" x14ac:dyDescent="0.25">
      <c r="A397" s="50"/>
      <c r="B397" s="50"/>
      <c r="C397" s="50"/>
      <c r="D397" s="7">
        <f>SUM(D388:D396)</f>
        <v>5.96</v>
      </c>
    </row>
    <row r="402" spans="1:5" x14ac:dyDescent="0.25">
      <c r="A402" s="79" t="s">
        <v>369</v>
      </c>
      <c r="B402" s="1" t="s">
        <v>0</v>
      </c>
      <c r="C402" s="1" t="s">
        <v>202</v>
      </c>
      <c r="D402" s="1" t="s">
        <v>9</v>
      </c>
      <c r="E402" s="119" t="s">
        <v>383</v>
      </c>
    </row>
    <row r="403" spans="1:5" x14ac:dyDescent="0.25">
      <c r="A403" s="80"/>
      <c r="B403" s="1" t="s">
        <v>22</v>
      </c>
      <c r="C403" s="2" t="s">
        <v>370</v>
      </c>
      <c r="D403" s="1">
        <v>6</v>
      </c>
      <c r="E403" s="119"/>
    </row>
    <row r="404" spans="1:5" x14ac:dyDescent="0.25">
      <c r="A404" s="80"/>
      <c r="B404" s="1" t="s">
        <v>226</v>
      </c>
      <c r="C404" s="3" t="s">
        <v>14</v>
      </c>
      <c r="D404" s="1">
        <v>0.3</v>
      </c>
      <c r="E404" s="119"/>
    </row>
    <row r="405" spans="1:5" x14ac:dyDescent="0.25">
      <c r="A405" s="80"/>
      <c r="B405" s="1" t="s">
        <v>371</v>
      </c>
      <c r="C405" s="3" t="s">
        <v>14</v>
      </c>
      <c r="D405" s="1">
        <v>0.67500000000000004</v>
      </c>
      <c r="E405" s="119"/>
    </row>
    <row r="406" spans="1:5" x14ac:dyDescent="0.25">
      <c r="A406" s="80"/>
      <c r="B406" s="1" t="s">
        <v>232</v>
      </c>
      <c r="C406" s="3" t="s">
        <v>372</v>
      </c>
      <c r="D406" s="1">
        <v>2.8</v>
      </c>
      <c r="E406" s="119"/>
    </row>
    <row r="407" spans="1:5" x14ac:dyDescent="0.25">
      <c r="A407" s="80"/>
      <c r="B407" s="1" t="s">
        <v>222</v>
      </c>
      <c r="C407" s="1" t="s">
        <v>373</v>
      </c>
      <c r="D407" s="1">
        <v>2</v>
      </c>
      <c r="E407" s="119"/>
    </row>
    <row r="408" spans="1:5" x14ac:dyDescent="0.25">
      <c r="A408" s="80"/>
      <c r="B408" s="1" t="s">
        <v>374</v>
      </c>
      <c r="C408" s="1" t="s">
        <v>375</v>
      </c>
      <c r="D408" s="1">
        <v>5</v>
      </c>
      <c r="E408" s="119"/>
    </row>
    <row r="409" spans="1:5" x14ac:dyDescent="0.25">
      <c r="A409" s="80"/>
      <c r="B409" s="1" t="s">
        <v>376</v>
      </c>
      <c r="C409" s="1" t="s">
        <v>377</v>
      </c>
      <c r="D409" s="1">
        <v>5</v>
      </c>
      <c r="E409" s="119"/>
    </row>
    <row r="410" spans="1:5" x14ac:dyDescent="0.25">
      <c r="A410" s="81"/>
      <c r="B410" s="1" t="s">
        <v>220</v>
      </c>
      <c r="C410" s="1" t="s">
        <v>181</v>
      </c>
      <c r="D410" s="1">
        <v>1.837</v>
      </c>
      <c r="E410" s="119"/>
    </row>
    <row r="411" spans="1:5" x14ac:dyDescent="0.25">
      <c r="A411" s="12" t="s">
        <v>216</v>
      </c>
      <c r="B411" s="12"/>
      <c r="C411" s="12"/>
      <c r="D411" s="7">
        <f>SUM(D403:D410)</f>
        <v>23.611999999999998</v>
      </c>
      <c r="E411" s="119"/>
    </row>
    <row r="413" spans="1:5" x14ac:dyDescent="0.25">
      <c r="A413" s="79" t="s">
        <v>378</v>
      </c>
      <c r="B413" s="1" t="s">
        <v>0</v>
      </c>
      <c r="C413" s="1" t="s">
        <v>202</v>
      </c>
      <c r="D413" s="1" t="s">
        <v>9</v>
      </c>
      <c r="E413" s="119" t="s">
        <v>384</v>
      </c>
    </row>
    <row r="414" spans="1:5" x14ac:dyDescent="0.25">
      <c r="A414" s="80"/>
      <c r="B414" s="1" t="s">
        <v>22</v>
      </c>
      <c r="C414" s="2" t="s">
        <v>370</v>
      </c>
      <c r="D414" s="1">
        <v>6</v>
      </c>
      <c r="E414" s="119"/>
    </row>
    <row r="415" spans="1:5" x14ac:dyDescent="0.25">
      <c r="A415" s="80"/>
      <c r="B415" s="1" t="s">
        <v>226</v>
      </c>
      <c r="C415" s="3" t="s">
        <v>14</v>
      </c>
      <c r="D415" s="1">
        <v>0.3</v>
      </c>
      <c r="E415" s="119"/>
    </row>
    <row r="416" spans="1:5" x14ac:dyDescent="0.25">
      <c r="A416" s="80"/>
      <c r="B416" s="1" t="s">
        <v>371</v>
      </c>
      <c r="C416" s="3" t="s">
        <v>14</v>
      </c>
      <c r="D416" s="1">
        <v>0.67500000000000004</v>
      </c>
      <c r="E416" s="119"/>
    </row>
    <row r="417" spans="1:5" x14ac:dyDescent="0.25">
      <c r="A417" s="80"/>
      <c r="B417" s="1" t="s">
        <v>232</v>
      </c>
      <c r="C417" s="3" t="s">
        <v>372</v>
      </c>
      <c r="D417" s="1">
        <v>2.8</v>
      </c>
      <c r="E417" s="119"/>
    </row>
    <row r="418" spans="1:5" x14ac:dyDescent="0.25">
      <c r="A418" s="80"/>
      <c r="B418" s="1" t="s">
        <v>222</v>
      </c>
      <c r="C418" s="1" t="s">
        <v>373</v>
      </c>
      <c r="D418" s="1">
        <v>2</v>
      </c>
      <c r="E418" s="119"/>
    </row>
    <row r="419" spans="1:5" x14ac:dyDescent="0.25">
      <c r="A419" s="80"/>
      <c r="B419" s="1" t="s">
        <v>374</v>
      </c>
      <c r="C419" s="1" t="s">
        <v>377</v>
      </c>
      <c r="D419" s="1">
        <v>5</v>
      </c>
      <c r="E419" s="119"/>
    </row>
    <row r="420" spans="1:5" x14ac:dyDescent="0.25">
      <c r="A420" s="80"/>
      <c r="B420" s="1" t="s">
        <v>376</v>
      </c>
      <c r="C420" s="1" t="s">
        <v>377</v>
      </c>
      <c r="D420" s="1">
        <v>5</v>
      </c>
      <c r="E420" s="119"/>
    </row>
    <row r="421" spans="1:5" x14ac:dyDescent="0.25">
      <c r="A421" s="81"/>
      <c r="B421" s="1" t="s">
        <v>220</v>
      </c>
      <c r="C421" s="1" t="s">
        <v>181</v>
      </c>
      <c r="D421" s="1">
        <v>1.837</v>
      </c>
      <c r="E421" s="119"/>
    </row>
    <row r="422" spans="1:5" x14ac:dyDescent="0.25">
      <c r="A422" s="12" t="s">
        <v>216</v>
      </c>
      <c r="B422" s="12"/>
      <c r="C422" s="12"/>
      <c r="D422" s="7">
        <f>SUM(D414:D421)</f>
        <v>23.611999999999998</v>
      </c>
      <c r="E422" s="119"/>
    </row>
    <row r="424" spans="1:5" x14ac:dyDescent="0.25">
      <c r="A424" s="79" t="s">
        <v>379</v>
      </c>
      <c r="B424" s="1" t="s">
        <v>0</v>
      </c>
      <c r="C424" s="1" t="s">
        <v>202</v>
      </c>
      <c r="D424" s="1" t="s">
        <v>9</v>
      </c>
      <c r="E424" s="119" t="s">
        <v>385</v>
      </c>
    </row>
    <row r="425" spans="1:5" x14ac:dyDescent="0.25">
      <c r="A425" s="80"/>
      <c r="B425" s="1" t="s">
        <v>22</v>
      </c>
      <c r="C425" s="2" t="s">
        <v>380</v>
      </c>
      <c r="D425" s="1">
        <v>3.6</v>
      </c>
      <c r="E425" s="119"/>
    </row>
    <row r="426" spans="1:5" x14ac:dyDescent="0.25">
      <c r="A426" s="80"/>
      <c r="B426" s="1" t="s">
        <v>232</v>
      </c>
      <c r="C426" s="3" t="s">
        <v>372</v>
      </c>
      <c r="D426" s="1">
        <v>2.8</v>
      </c>
      <c r="E426" s="119"/>
    </row>
    <row r="427" spans="1:5" x14ac:dyDescent="0.25">
      <c r="A427" s="80"/>
      <c r="B427" s="1" t="s">
        <v>115</v>
      </c>
      <c r="C427" s="3" t="s">
        <v>381</v>
      </c>
      <c r="D427" s="1">
        <v>1.3</v>
      </c>
      <c r="E427" s="119"/>
    </row>
    <row r="428" spans="1:5" x14ac:dyDescent="0.25">
      <c r="A428" s="80"/>
      <c r="B428" s="1" t="s">
        <v>226</v>
      </c>
      <c r="C428" s="3" t="s">
        <v>180</v>
      </c>
      <c r="D428" s="1">
        <v>0.14000000000000001</v>
      </c>
      <c r="E428" s="119"/>
    </row>
    <row r="429" spans="1:5" x14ac:dyDescent="0.25">
      <c r="A429" s="80"/>
      <c r="B429" s="1" t="s">
        <v>278</v>
      </c>
      <c r="C429" s="1" t="s">
        <v>29</v>
      </c>
      <c r="D429" s="1">
        <v>0.1</v>
      </c>
      <c r="E429" s="119"/>
    </row>
    <row r="430" spans="1:5" x14ac:dyDescent="0.25">
      <c r="A430" s="80"/>
      <c r="B430" s="1" t="s">
        <v>466</v>
      </c>
      <c r="C430" s="1" t="s">
        <v>244</v>
      </c>
      <c r="D430" s="1">
        <v>2.1549999999999998</v>
      </c>
      <c r="E430" s="119"/>
    </row>
    <row r="431" spans="1:5" x14ac:dyDescent="0.25">
      <c r="A431" s="80"/>
      <c r="B431" s="1"/>
      <c r="C431" s="1"/>
      <c r="D431" s="1"/>
      <c r="E431" s="119"/>
    </row>
    <row r="432" spans="1:5" x14ac:dyDescent="0.25">
      <c r="A432" s="81"/>
      <c r="B432" s="1"/>
      <c r="C432" s="1"/>
      <c r="D432" s="1"/>
      <c r="E432" s="119"/>
    </row>
    <row r="433" spans="1:5" x14ac:dyDescent="0.25">
      <c r="A433" s="12" t="s">
        <v>216</v>
      </c>
      <c r="B433" s="12"/>
      <c r="C433" s="12"/>
      <c r="D433" s="7">
        <f>SUM(D425:D431)</f>
        <v>10.094999999999999</v>
      </c>
      <c r="E433" s="119"/>
    </row>
    <row r="435" spans="1:5" x14ac:dyDescent="0.25">
      <c r="A435" s="72" t="s">
        <v>465</v>
      </c>
      <c r="B435" s="1" t="s">
        <v>0</v>
      </c>
      <c r="C435" s="1" t="s">
        <v>202</v>
      </c>
      <c r="D435" s="1" t="s">
        <v>9</v>
      </c>
    </row>
    <row r="436" spans="1:5" x14ac:dyDescent="0.25">
      <c r="A436" s="73"/>
      <c r="B436" s="1" t="s">
        <v>414</v>
      </c>
      <c r="C436" s="1" t="s">
        <v>173</v>
      </c>
      <c r="D436" s="1">
        <v>1.8169999999999999</v>
      </c>
    </row>
    <row r="437" spans="1:5" x14ac:dyDescent="0.25">
      <c r="A437" s="73"/>
      <c r="B437" s="1" t="s">
        <v>360</v>
      </c>
      <c r="C437" s="1" t="s">
        <v>180</v>
      </c>
      <c r="D437" s="1">
        <v>2.3330000000000002</v>
      </c>
    </row>
    <row r="438" spans="1:5" x14ac:dyDescent="0.25">
      <c r="A438" s="73"/>
      <c r="B438" s="1" t="s">
        <v>443</v>
      </c>
      <c r="C438" s="1" t="s">
        <v>12</v>
      </c>
      <c r="D438" s="1">
        <v>0.24</v>
      </c>
    </row>
    <row r="439" spans="1:5" x14ac:dyDescent="0.25">
      <c r="A439" s="73"/>
      <c r="B439" s="1"/>
      <c r="C439" s="1"/>
      <c r="D439" s="1"/>
    </row>
    <row r="440" spans="1:5" x14ac:dyDescent="0.25">
      <c r="A440" s="73"/>
      <c r="B440" s="1"/>
      <c r="D440" s="1"/>
    </row>
    <row r="441" spans="1:5" x14ac:dyDescent="0.25">
      <c r="A441" s="50"/>
      <c r="B441" s="50"/>
      <c r="C441" s="50"/>
      <c r="D441" s="7">
        <f>SUM(D436:D440)</f>
        <v>4.3900000000000006</v>
      </c>
    </row>
    <row r="443" spans="1:5" x14ac:dyDescent="0.25">
      <c r="A443" s="72" t="s">
        <v>418</v>
      </c>
      <c r="B443" s="1" t="s">
        <v>0</v>
      </c>
      <c r="C443" s="1" t="s">
        <v>202</v>
      </c>
      <c r="D443" s="1" t="s">
        <v>9</v>
      </c>
    </row>
    <row r="444" spans="1:5" x14ac:dyDescent="0.25">
      <c r="A444" s="73"/>
      <c r="B444" s="1" t="s">
        <v>419</v>
      </c>
      <c r="C444" s="1" t="s">
        <v>185</v>
      </c>
      <c r="D444" s="1">
        <v>6.3</v>
      </c>
    </row>
    <row r="445" spans="1:5" x14ac:dyDescent="0.25">
      <c r="A445" s="73"/>
      <c r="B445" s="1" t="s">
        <v>420</v>
      </c>
      <c r="C445" s="1" t="s">
        <v>185</v>
      </c>
      <c r="D445" s="1">
        <v>15.75</v>
      </c>
    </row>
    <row r="446" spans="1:5" x14ac:dyDescent="0.25">
      <c r="A446" s="73"/>
      <c r="B446" s="1" t="s">
        <v>421</v>
      </c>
      <c r="C446" s="1" t="s">
        <v>17</v>
      </c>
      <c r="D446" s="1">
        <v>0.94499999999999995</v>
      </c>
    </row>
    <row r="447" spans="1:5" x14ac:dyDescent="0.25">
      <c r="A447" s="73"/>
      <c r="B447" s="1" t="s">
        <v>422</v>
      </c>
      <c r="C447" s="1" t="s">
        <v>17</v>
      </c>
      <c r="D447" s="1">
        <v>18</v>
      </c>
    </row>
    <row r="448" spans="1:5" x14ac:dyDescent="0.25">
      <c r="A448" s="73"/>
      <c r="B448" s="1" t="s">
        <v>423</v>
      </c>
      <c r="C448" s="1" t="s">
        <v>17</v>
      </c>
      <c r="D448" s="1">
        <v>2.5</v>
      </c>
    </row>
    <row r="449" spans="1:4" x14ac:dyDescent="0.25">
      <c r="A449" s="50"/>
      <c r="B449" s="50"/>
      <c r="C449" s="50"/>
      <c r="D449" s="7">
        <f>SUM(D444:D448)</f>
        <v>43.495000000000005</v>
      </c>
    </row>
    <row r="452" spans="1:4" x14ac:dyDescent="0.25">
      <c r="A452" s="72" t="s">
        <v>589</v>
      </c>
      <c r="B452" s="1" t="s">
        <v>0</v>
      </c>
      <c r="C452" s="1" t="s">
        <v>202</v>
      </c>
      <c r="D452" s="1" t="s">
        <v>9</v>
      </c>
    </row>
    <row r="453" spans="1:4" x14ac:dyDescent="0.25">
      <c r="A453" s="73"/>
      <c r="B453" s="1" t="s">
        <v>580</v>
      </c>
      <c r="C453" s="1" t="s">
        <v>594</v>
      </c>
      <c r="D453" s="1">
        <v>27</v>
      </c>
    </row>
    <row r="454" spans="1:4" x14ac:dyDescent="0.25">
      <c r="A454" s="73"/>
      <c r="B454" s="1" t="s">
        <v>335</v>
      </c>
      <c r="C454" s="1" t="s">
        <v>197</v>
      </c>
      <c r="D454" s="1">
        <v>4.5999999999999996</v>
      </c>
    </row>
    <row r="455" spans="1:4" x14ac:dyDescent="0.25">
      <c r="A455" s="73"/>
      <c r="B455" s="1" t="s">
        <v>371</v>
      </c>
      <c r="C455" s="1" t="s">
        <v>165</v>
      </c>
      <c r="D455" s="1">
        <v>0.9</v>
      </c>
    </row>
    <row r="456" spans="1:4" x14ac:dyDescent="0.25">
      <c r="A456" s="73"/>
      <c r="B456" s="1" t="s">
        <v>22</v>
      </c>
      <c r="C456" s="1" t="s">
        <v>552</v>
      </c>
      <c r="D456" s="1">
        <v>2.4</v>
      </c>
    </row>
    <row r="457" spans="1:4" x14ac:dyDescent="0.25">
      <c r="A457" s="73"/>
      <c r="B457" s="1" t="s">
        <v>590</v>
      </c>
      <c r="C457" s="1" t="s">
        <v>171</v>
      </c>
      <c r="D457" s="1">
        <v>0.24</v>
      </c>
    </row>
    <row r="458" spans="1:4" x14ac:dyDescent="0.25">
      <c r="A458" s="73"/>
      <c r="B458" s="1" t="s">
        <v>374</v>
      </c>
      <c r="C458" s="1" t="s">
        <v>17</v>
      </c>
      <c r="D458" s="1">
        <v>0.5</v>
      </c>
    </row>
    <row r="459" spans="1:4" x14ac:dyDescent="0.25">
      <c r="A459" s="73"/>
      <c r="B459" s="1"/>
      <c r="C459" s="1"/>
      <c r="D459" s="1"/>
    </row>
    <row r="460" spans="1:4" x14ac:dyDescent="0.25">
      <c r="A460" s="73"/>
      <c r="B460" s="1"/>
      <c r="C460" s="1"/>
      <c r="D460" s="1"/>
    </row>
    <row r="461" spans="1:4" x14ac:dyDescent="0.25">
      <c r="A461" s="73"/>
      <c r="B461" s="1"/>
      <c r="C461" s="1"/>
      <c r="D461" s="1"/>
    </row>
    <row r="462" spans="1:4" x14ac:dyDescent="0.25">
      <c r="A462" s="50"/>
      <c r="B462" s="50"/>
      <c r="C462" s="50"/>
      <c r="D462" s="7">
        <f>SUM(D453:D461)</f>
        <v>35.64</v>
      </c>
    </row>
    <row r="464" spans="1:4" x14ac:dyDescent="0.25">
      <c r="A464" s="53" t="s">
        <v>575</v>
      </c>
      <c r="B464" s="1" t="s">
        <v>0</v>
      </c>
      <c r="C464" s="1" t="s">
        <v>202</v>
      </c>
      <c r="D464" s="1" t="s">
        <v>9</v>
      </c>
    </row>
    <row r="465" spans="1:4" x14ac:dyDescent="0.25">
      <c r="A465" s="54"/>
      <c r="B465" s="1" t="s">
        <v>234</v>
      </c>
      <c r="C465" s="1" t="s">
        <v>165</v>
      </c>
      <c r="D465" s="1">
        <v>3.6</v>
      </c>
    </row>
    <row r="466" spans="1:4" x14ac:dyDescent="0.25">
      <c r="A466" s="54"/>
      <c r="B466" s="1" t="s">
        <v>576</v>
      </c>
      <c r="C466" s="1" t="s">
        <v>17</v>
      </c>
      <c r="D466" s="1">
        <v>18</v>
      </c>
    </row>
    <row r="467" spans="1:4" x14ac:dyDescent="0.25">
      <c r="A467" s="54"/>
      <c r="B467" s="1" t="s">
        <v>232</v>
      </c>
      <c r="C467" s="1" t="s">
        <v>577</v>
      </c>
      <c r="D467" s="1">
        <v>0.14000000000000001</v>
      </c>
    </row>
    <row r="468" spans="1:4" x14ac:dyDescent="0.25">
      <c r="A468" s="54"/>
      <c r="B468" s="1" t="s">
        <v>423</v>
      </c>
      <c r="C468" s="1" t="s">
        <v>10</v>
      </c>
      <c r="D468" s="1">
        <v>0.18</v>
      </c>
    </row>
    <row r="469" spans="1:4" x14ac:dyDescent="0.25">
      <c r="A469" s="54"/>
      <c r="B469" s="1" t="s">
        <v>578</v>
      </c>
      <c r="C469" s="21" t="s">
        <v>621</v>
      </c>
      <c r="D469" s="1">
        <v>2</v>
      </c>
    </row>
    <row r="470" spans="1:4" x14ac:dyDescent="0.25">
      <c r="A470" s="50"/>
      <c r="B470" s="50"/>
      <c r="C470" s="50"/>
      <c r="D470" s="7">
        <f>SUM(D465:D469)</f>
        <v>23.92</v>
      </c>
    </row>
    <row r="472" spans="1:4" x14ac:dyDescent="0.25">
      <c r="A472" s="72" t="s">
        <v>579</v>
      </c>
      <c r="B472" s="1" t="s">
        <v>0</v>
      </c>
      <c r="C472" s="1" t="s">
        <v>202</v>
      </c>
      <c r="D472" s="1" t="s">
        <v>9</v>
      </c>
    </row>
    <row r="473" spans="1:4" x14ac:dyDescent="0.25">
      <c r="A473" s="73"/>
      <c r="B473" s="1" t="s">
        <v>580</v>
      </c>
      <c r="C473" s="1" t="s">
        <v>584</v>
      </c>
      <c r="D473" s="1">
        <v>30.42</v>
      </c>
    </row>
    <row r="474" spans="1:4" x14ac:dyDescent="0.25">
      <c r="A474" s="73"/>
      <c r="B474" s="1" t="s">
        <v>234</v>
      </c>
      <c r="C474" s="1" t="s">
        <v>585</v>
      </c>
      <c r="D474" s="1">
        <v>14.6</v>
      </c>
    </row>
    <row r="475" spans="1:4" x14ac:dyDescent="0.25">
      <c r="A475" s="73"/>
      <c r="B475" s="1" t="s">
        <v>331</v>
      </c>
      <c r="C475" s="1" t="s">
        <v>169</v>
      </c>
      <c r="D475" s="1">
        <v>0.44</v>
      </c>
    </row>
    <row r="476" spans="1:4" x14ac:dyDescent="0.25">
      <c r="A476" s="73"/>
      <c r="B476" s="1" t="s">
        <v>581</v>
      </c>
      <c r="C476" s="1" t="s">
        <v>587</v>
      </c>
      <c r="D476" s="1">
        <v>0.3</v>
      </c>
    </row>
    <row r="477" spans="1:4" x14ac:dyDescent="0.25">
      <c r="A477" s="73"/>
      <c r="B477" s="1" t="s">
        <v>582</v>
      </c>
      <c r="C477" s="1" t="s">
        <v>588</v>
      </c>
      <c r="D477" s="1">
        <v>26.4</v>
      </c>
    </row>
    <row r="478" spans="1:4" x14ac:dyDescent="0.25">
      <c r="A478" s="73"/>
      <c r="B478" s="1" t="s">
        <v>337</v>
      </c>
      <c r="C478" s="1" t="s">
        <v>197</v>
      </c>
      <c r="D478" s="1">
        <v>2.4</v>
      </c>
    </row>
    <row r="479" spans="1:4" x14ac:dyDescent="0.25">
      <c r="A479" s="73"/>
      <c r="B479" s="1" t="s">
        <v>583</v>
      </c>
      <c r="C479" s="1" t="s">
        <v>14</v>
      </c>
      <c r="D479" s="1">
        <v>2.7</v>
      </c>
    </row>
    <row r="480" spans="1:4" x14ac:dyDescent="0.25">
      <c r="A480" s="50"/>
      <c r="B480" s="50"/>
      <c r="C480" s="50"/>
      <c r="D480" s="7">
        <f>SUM(D473:D479)</f>
        <v>77.260000000000005</v>
      </c>
    </row>
    <row r="482" spans="1:4" x14ac:dyDescent="0.25">
      <c r="A482" s="106" t="s">
        <v>650</v>
      </c>
      <c r="B482" s="1" t="s">
        <v>0</v>
      </c>
      <c r="C482" s="1" t="s">
        <v>202</v>
      </c>
      <c r="D482" s="1" t="s">
        <v>9</v>
      </c>
    </row>
    <row r="483" spans="1:4" x14ac:dyDescent="0.25">
      <c r="A483" s="107"/>
      <c r="B483" s="1" t="s">
        <v>22</v>
      </c>
      <c r="C483" s="1" t="s">
        <v>621</v>
      </c>
      <c r="D483" s="1">
        <v>1.2</v>
      </c>
    </row>
    <row r="484" spans="1:4" x14ac:dyDescent="0.25">
      <c r="A484" s="107"/>
      <c r="B484" s="1" t="s">
        <v>469</v>
      </c>
      <c r="C484" s="1" t="s">
        <v>292</v>
      </c>
      <c r="D484" s="1">
        <v>2.75</v>
      </c>
    </row>
    <row r="485" spans="1:4" x14ac:dyDescent="0.25">
      <c r="A485" s="107"/>
      <c r="B485" s="1" t="s">
        <v>248</v>
      </c>
      <c r="C485" s="1" t="s">
        <v>11</v>
      </c>
      <c r="D485" s="1">
        <v>0.222</v>
      </c>
    </row>
    <row r="486" spans="1:4" x14ac:dyDescent="0.25">
      <c r="A486" s="107"/>
      <c r="B486" s="1" t="s">
        <v>340</v>
      </c>
      <c r="C486" s="1" t="s">
        <v>10</v>
      </c>
      <c r="D486" s="1">
        <v>0.5</v>
      </c>
    </row>
    <row r="487" spans="1:4" x14ac:dyDescent="0.25">
      <c r="A487" s="107"/>
      <c r="B487" s="1" t="s">
        <v>356</v>
      </c>
      <c r="C487" s="1" t="s">
        <v>171</v>
      </c>
      <c r="D487" s="1">
        <v>0.72</v>
      </c>
    </row>
    <row r="488" spans="1:4" x14ac:dyDescent="0.25">
      <c r="A488" s="107"/>
      <c r="B488" s="1" t="s">
        <v>527</v>
      </c>
      <c r="C488" s="1" t="s">
        <v>11</v>
      </c>
      <c r="D488" s="1">
        <v>0.18</v>
      </c>
    </row>
    <row r="489" spans="1:4" x14ac:dyDescent="0.25">
      <c r="A489" s="50"/>
      <c r="B489" s="50"/>
      <c r="C489" s="50"/>
      <c r="D489" s="7">
        <f>SUM(D483:D488)</f>
        <v>5.5720000000000001</v>
      </c>
    </row>
    <row r="491" spans="1:4" x14ac:dyDescent="0.25">
      <c r="A491" s="106" t="s">
        <v>700</v>
      </c>
      <c r="B491" s="1" t="s">
        <v>0</v>
      </c>
      <c r="C491" s="1" t="s">
        <v>202</v>
      </c>
      <c r="D491" s="1" t="s">
        <v>9</v>
      </c>
    </row>
    <row r="492" spans="1:4" x14ac:dyDescent="0.25">
      <c r="A492" s="107"/>
      <c r="B492" s="1" t="s">
        <v>22</v>
      </c>
      <c r="C492" s="1" t="s">
        <v>174</v>
      </c>
      <c r="D492" s="1">
        <v>1.8</v>
      </c>
    </row>
    <row r="493" spans="1:4" x14ac:dyDescent="0.25">
      <c r="A493" s="107"/>
      <c r="B493" s="1" t="s">
        <v>331</v>
      </c>
      <c r="C493" s="1" t="s">
        <v>223</v>
      </c>
      <c r="D493" s="1">
        <v>1</v>
      </c>
    </row>
    <row r="494" spans="1:4" x14ac:dyDescent="0.25">
      <c r="A494" s="107"/>
      <c r="B494" s="1" t="s">
        <v>657</v>
      </c>
      <c r="C494" s="1" t="s">
        <v>658</v>
      </c>
      <c r="D494" s="1">
        <v>7.36</v>
      </c>
    </row>
    <row r="495" spans="1:4" x14ac:dyDescent="0.25">
      <c r="A495" s="107"/>
      <c r="B495" s="1" t="s">
        <v>337</v>
      </c>
      <c r="C495" s="1" t="s">
        <v>659</v>
      </c>
      <c r="D495" s="1">
        <v>1.55</v>
      </c>
    </row>
    <row r="496" spans="1:4" x14ac:dyDescent="0.25">
      <c r="A496" s="107"/>
      <c r="B496" s="1" t="s">
        <v>222</v>
      </c>
      <c r="C496" s="1" t="s">
        <v>10</v>
      </c>
      <c r="D496" s="1">
        <v>0.1</v>
      </c>
    </row>
    <row r="497" spans="1:4" x14ac:dyDescent="0.25">
      <c r="A497" s="47"/>
      <c r="B497" s="48"/>
      <c r="C497" s="49"/>
      <c r="D497" s="7">
        <f>SUM(D492:D496)</f>
        <v>11.81</v>
      </c>
    </row>
    <row r="502" spans="1:4" x14ac:dyDescent="0.25">
      <c r="A502" s="72" t="s">
        <v>670</v>
      </c>
      <c r="B502" s="1" t="s">
        <v>0</v>
      </c>
      <c r="C502" s="1" t="s">
        <v>202</v>
      </c>
      <c r="D502" s="1" t="s">
        <v>9</v>
      </c>
    </row>
    <row r="503" spans="1:4" x14ac:dyDescent="0.25">
      <c r="A503" s="73"/>
      <c r="B503" s="1" t="s">
        <v>671</v>
      </c>
      <c r="C503" s="1" t="s">
        <v>197</v>
      </c>
      <c r="D503" s="1">
        <v>7.2</v>
      </c>
    </row>
    <row r="504" spans="1:4" x14ac:dyDescent="0.25">
      <c r="A504" s="73"/>
      <c r="B504" s="1" t="s">
        <v>420</v>
      </c>
      <c r="C504" s="1" t="s">
        <v>672</v>
      </c>
      <c r="D504" s="1">
        <v>14.85</v>
      </c>
    </row>
    <row r="505" spans="1:4" x14ac:dyDescent="0.25">
      <c r="A505" s="73"/>
      <c r="B505" s="1" t="s">
        <v>331</v>
      </c>
      <c r="C505" s="1" t="s">
        <v>271</v>
      </c>
      <c r="D505" s="1">
        <v>0.11</v>
      </c>
    </row>
    <row r="506" spans="1:4" x14ac:dyDescent="0.25">
      <c r="A506" s="73"/>
      <c r="B506" s="1" t="s">
        <v>673</v>
      </c>
      <c r="C506" s="1" t="s">
        <v>166</v>
      </c>
      <c r="D506" s="1">
        <v>0.25</v>
      </c>
    </row>
    <row r="507" spans="1:4" x14ac:dyDescent="0.25">
      <c r="A507" s="73"/>
      <c r="B507" s="1" t="s">
        <v>236</v>
      </c>
      <c r="C507" s="1" t="s">
        <v>180</v>
      </c>
      <c r="D507" s="1">
        <v>1.3</v>
      </c>
    </row>
    <row r="508" spans="1:4" x14ac:dyDescent="0.25">
      <c r="A508" s="73"/>
      <c r="B508" s="1" t="s">
        <v>674</v>
      </c>
      <c r="C508" s="1" t="s">
        <v>244</v>
      </c>
      <c r="D508" s="1">
        <v>2.4</v>
      </c>
    </row>
    <row r="509" spans="1:4" x14ac:dyDescent="0.25">
      <c r="A509" s="73"/>
      <c r="B509" s="1" t="s">
        <v>337</v>
      </c>
      <c r="C509" s="1" t="s">
        <v>165</v>
      </c>
      <c r="D509" s="1">
        <v>1.2</v>
      </c>
    </row>
    <row r="510" spans="1:4" x14ac:dyDescent="0.25">
      <c r="A510" s="73"/>
      <c r="B510" s="1"/>
      <c r="C510" s="1"/>
      <c r="D510" s="1"/>
    </row>
    <row r="511" spans="1:4" x14ac:dyDescent="0.25">
      <c r="A511" s="50"/>
      <c r="B511" s="50"/>
      <c r="C511" s="50"/>
      <c r="D511" s="7">
        <f>SUM(D503:D510)</f>
        <v>27.31</v>
      </c>
    </row>
    <row r="513" spans="1:4" x14ac:dyDescent="0.25">
      <c r="A513" s="72" t="s">
        <v>683</v>
      </c>
      <c r="B513" s="1" t="s">
        <v>0</v>
      </c>
      <c r="C513" s="1" t="s">
        <v>202</v>
      </c>
      <c r="D513" s="1" t="s">
        <v>9</v>
      </c>
    </row>
    <row r="514" spans="1:4" x14ac:dyDescent="0.25">
      <c r="A514" s="73"/>
      <c r="B514" s="1" t="s">
        <v>420</v>
      </c>
      <c r="C514" s="1" t="s">
        <v>223</v>
      </c>
      <c r="D514" s="1">
        <v>9</v>
      </c>
    </row>
    <row r="515" spans="1:4" x14ac:dyDescent="0.25">
      <c r="A515" s="73"/>
      <c r="B515" s="1" t="s">
        <v>684</v>
      </c>
      <c r="C515" s="1" t="s">
        <v>185</v>
      </c>
      <c r="D515" s="1">
        <v>6.3</v>
      </c>
    </row>
    <row r="516" spans="1:4" x14ac:dyDescent="0.25">
      <c r="A516" s="73"/>
      <c r="B516" s="1" t="s">
        <v>685</v>
      </c>
      <c r="C516" s="1" t="s">
        <v>250</v>
      </c>
      <c r="D516" s="1">
        <v>0.9</v>
      </c>
    </row>
    <row r="517" spans="1:4" x14ac:dyDescent="0.25">
      <c r="A517" s="73"/>
      <c r="B517" s="1" t="s">
        <v>331</v>
      </c>
      <c r="C517" s="1" t="s">
        <v>339</v>
      </c>
      <c r="D517" s="1">
        <v>0.34</v>
      </c>
    </row>
    <row r="518" spans="1:4" x14ac:dyDescent="0.25">
      <c r="A518" s="73"/>
      <c r="B518" s="1" t="s">
        <v>535</v>
      </c>
      <c r="C518" s="1" t="s">
        <v>686</v>
      </c>
      <c r="D518" s="1">
        <v>0.34</v>
      </c>
    </row>
    <row r="519" spans="1:4" x14ac:dyDescent="0.25">
      <c r="A519" s="73"/>
      <c r="B519" s="1" t="s">
        <v>687</v>
      </c>
      <c r="C519" s="1" t="s">
        <v>174</v>
      </c>
      <c r="D519" s="1">
        <v>5.88</v>
      </c>
    </row>
    <row r="520" spans="1:4" x14ac:dyDescent="0.25">
      <c r="A520" s="73"/>
      <c r="B520" s="1" t="s">
        <v>688</v>
      </c>
      <c r="C520" s="1" t="s">
        <v>197</v>
      </c>
      <c r="D520" s="1">
        <v>14.9</v>
      </c>
    </row>
    <row r="521" spans="1:4" x14ac:dyDescent="0.25">
      <c r="A521" s="73"/>
      <c r="B521" s="1" t="s">
        <v>361</v>
      </c>
      <c r="C521" s="1" t="s">
        <v>10</v>
      </c>
      <c r="D521" s="1">
        <v>4.5</v>
      </c>
    </row>
    <row r="522" spans="1:4" x14ac:dyDescent="0.25">
      <c r="A522" s="73"/>
      <c r="B522" s="1" t="s">
        <v>689</v>
      </c>
      <c r="C522" s="1" t="s">
        <v>29</v>
      </c>
      <c r="D522" s="1">
        <v>0.85</v>
      </c>
    </row>
    <row r="523" spans="1:4" x14ac:dyDescent="0.25">
      <c r="A523" s="50"/>
      <c r="B523" s="50"/>
      <c r="C523" s="50"/>
      <c r="D523" s="7">
        <f>SUM(D514:D522)</f>
        <v>43.01</v>
      </c>
    </row>
    <row r="525" spans="1:4" x14ac:dyDescent="0.25">
      <c r="A525" s="72" t="s">
        <v>690</v>
      </c>
      <c r="B525" s="1" t="s">
        <v>0</v>
      </c>
      <c r="C525" s="1" t="s">
        <v>202</v>
      </c>
      <c r="D525" s="1" t="s">
        <v>9</v>
      </c>
    </row>
    <row r="526" spans="1:4" x14ac:dyDescent="0.25">
      <c r="A526" s="73"/>
      <c r="B526" s="1" t="s">
        <v>691</v>
      </c>
      <c r="C526" s="1" t="s">
        <v>223</v>
      </c>
      <c r="D526" s="1">
        <v>9</v>
      </c>
    </row>
    <row r="527" spans="1:4" x14ac:dyDescent="0.25">
      <c r="A527" s="73"/>
      <c r="B527" s="1" t="s">
        <v>234</v>
      </c>
      <c r="C527" s="1" t="s">
        <v>181</v>
      </c>
      <c r="D527" s="1">
        <v>4.5</v>
      </c>
    </row>
    <row r="528" spans="1:4" x14ac:dyDescent="0.25">
      <c r="A528" s="73"/>
      <c r="B528" s="1" t="s">
        <v>22</v>
      </c>
      <c r="C528" s="1" t="s">
        <v>250</v>
      </c>
      <c r="D528" s="1">
        <v>0.9</v>
      </c>
    </row>
    <row r="529" spans="1:4" x14ac:dyDescent="0.25">
      <c r="A529" s="73"/>
      <c r="B529" s="1" t="s">
        <v>331</v>
      </c>
      <c r="C529" s="1" t="s">
        <v>339</v>
      </c>
      <c r="D529" s="1">
        <v>0.34</v>
      </c>
    </row>
    <row r="530" spans="1:4" x14ac:dyDescent="0.25">
      <c r="A530" s="73"/>
      <c r="B530" s="1" t="s">
        <v>692</v>
      </c>
      <c r="C530" s="1" t="s">
        <v>165</v>
      </c>
      <c r="D530" s="1">
        <v>12.5</v>
      </c>
    </row>
    <row r="531" spans="1:4" x14ac:dyDescent="0.25">
      <c r="A531" s="73"/>
      <c r="B531" s="1" t="s">
        <v>693</v>
      </c>
      <c r="C531" s="1" t="s">
        <v>165</v>
      </c>
      <c r="D531" s="1">
        <v>4.4000000000000004</v>
      </c>
    </row>
    <row r="532" spans="1:4" x14ac:dyDescent="0.25">
      <c r="A532" s="73"/>
      <c r="B532" s="1" t="s">
        <v>694</v>
      </c>
      <c r="C532" s="1" t="s">
        <v>197</v>
      </c>
      <c r="D532" s="1">
        <v>8.4</v>
      </c>
    </row>
    <row r="533" spans="1:4" x14ac:dyDescent="0.25">
      <c r="A533" s="73"/>
      <c r="B533" s="1" t="s">
        <v>535</v>
      </c>
      <c r="C533" s="1" t="s">
        <v>686</v>
      </c>
      <c r="D533" s="1">
        <v>0.34</v>
      </c>
    </row>
    <row r="534" spans="1:4" x14ac:dyDescent="0.25">
      <c r="A534" s="93"/>
      <c r="B534" s="1" t="s">
        <v>695</v>
      </c>
      <c r="C534" s="1" t="s">
        <v>174</v>
      </c>
      <c r="D534" s="1">
        <v>5.88</v>
      </c>
    </row>
    <row r="535" spans="1:4" x14ac:dyDescent="0.25">
      <c r="A535" s="50"/>
      <c r="B535" s="50"/>
      <c r="C535" s="50"/>
      <c r="D535" s="7">
        <f>SUM(D526:D534)</f>
        <v>46.260000000000005</v>
      </c>
    </row>
  </sheetData>
  <mergeCells count="100">
    <mergeCell ref="A1:D1"/>
    <mergeCell ref="A118:A120"/>
    <mergeCell ref="A121:A123"/>
    <mergeCell ref="A259:C259"/>
    <mergeCell ref="A261:A268"/>
    <mergeCell ref="A24:A32"/>
    <mergeCell ref="A35:A43"/>
    <mergeCell ref="A185:C185"/>
    <mergeCell ref="A132:C132"/>
    <mergeCell ref="A135:A140"/>
    <mergeCell ref="A141:C141"/>
    <mergeCell ref="A144:A146"/>
    <mergeCell ref="A124:C124"/>
    <mergeCell ref="A82:A87"/>
    <mergeCell ref="A88:C88"/>
    <mergeCell ref="A90:A95"/>
    <mergeCell ref="A96:C96"/>
    <mergeCell ref="A52:A60"/>
    <mergeCell ref="E402:E411"/>
    <mergeCell ref="E413:E422"/>
    <mergeCell ref="E424:E433"/>
    <mergeCell ref="A217:A222"/>
    <mergeCell ref="A223:C223"/>
    <mergeCell ref="A110:A115"/>
    <mergeCell ref="A80:C80"/>
    <mergeCell ref="A295:C295"/>
    <mergeCell ref="A302:A308"/>
    <mergeCell ref="A309:C309"/>
    <mergeCell ref="A147:C147"/>
    <mergeCell ref="A152:A157"/>
    <mergeCell ref="A158:C158"/>
    <mergeCell ref="A160:A169"/>
    <mergeCell ref="A116:C116"/>
    <mergeCell ref="A452:A461"/>
    <mergeCell ref="A402:A410"/>
    <mergeCell ref="A413:A421"/>
    <mergeCell ref="A424:A432"/>
    <mergeCell ref="A271:A277"/>
    <mergeCell ref="A278:C278"/>
    <mergeCell ref="A280:A285"/>
    <mergeCell ref="A225:A228"/>
    <mergeCell ref="A229:C229"/>
    <mergeCell ref="A286:C286"/>
    <mergeCell ref="A288:A294"/>
    <mergeCell ref="A435:A440"/>
    <mergeCell ref="A441:C441"/>
    <mergeCell ref="A170:C170"/>
    <mergeCell ref="A173:A184"/>
    <mergeCell ref="A187:A192"/>
    <mergeCell ref="A193:C193"/>
    <mergeCell ref="A472:A479"/>
    <mergeCell ref="A480:C480"/>
    <mergeCell ref="A464:A469"/>
    <mergeCell ref="A470:C470"/>
    <mergeCell ref="A269:C269"/>
    <mergeCell ref="A231:A236"/>
    <mergeCell ref="A237:C237"/>
    <mergeCell ref="A239:A245"/>
    <mergeCell ref="A246:C246"/>
    <mergeCell ref="A252:A258"/>
    <mergeCell ref="A311:A316"/>
    <mergeCell ref="A317:C317"/>
    <mergeCell ref="A330:A338"/>
    <mergeCell ref="A364:A372"/>
    <mergeCell ref="A13:A21"/>
    <mergeCell ref="A2:A10"/>
    <mergeCell ref="A102:A107"/>
    <mergeCell ref="A108:C108"/>
    <mergeCell ref="A462:C462"/>
    <mergeCell ref="A212:A214"/>
    <mergeCell ref="A215:C215"/>
    <mergeCell ref="A202:A209"/>
    <mergeCell ref="A210:C210"/>
    <mergeCell ref="A443:A448"/>
    <mergeCell ref="A449:C449"/>
    <mergeCell ref="A63:A71"/>
    <mergeCell ref="A74:A79"/>
    <mergeCell ref="A319:A327"/>
    <mergeCell ref="A328:C328"/>
    <mergeCell ref="A126:A131"/>
    <mergeCell ref="A373:C373"/>
    <mergeCell ref="A375:A384"/>
    <mergeCell ref="A385:C385"/>
    <mergeCell ref="A339:C339"/>
    <mergeCell ref="A341:A350"/>
    <mergeCell ref="A351:C351"/>
    <mergeCell ref="A353:A361"/>
    <mergeCell ref="A362:C362"/>
    <mergeCell ref="A525:A534"/>
    <mergeCell ref="A535:C535"/>
    <mergeCell ref="A387:A396"/>
    <mergeCell ref="A513:A522"/>
    <mergeCell ref="A523:C523"/>
    <mergeCell ref="A497:C497"/>
    <mergeCell ref="A489:C489"/>
    <mergeCell ref="A502:A510"/>
    <mergeCell ref="A511:C511"/>
    <mergeCell ref="A397:C397"/>
    <mergeCell ref="A482:A488"/>
    <mergeCell ref="A491:A496"/>
  </mergeCells>
  <pageMargins left="0.7" right="0.7" top="0.75" bottom="0.75" header="0.3" footer="0.3"/>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782F7-A1C7-4C2C-8269-27C5B37249CF}">
  <dimension ref="A1:D271"/>
  <sheetViews>
    <sheetView topLeftCell="B160" workbookViewId="0">
      <selection activeCell="J11" sqref="J11"/>
    </sheetView>
  </sheetViews>
  <sheetFormatPr baseColWidth="10" defaultRowHeight="15" x14ac:dyDescent="0.25"/>
  <cols>
    <col min="1" max="1" width="18.42578125" customWidth="1"/>
    <col min="2" max="2" width="21.7109375" customWidth="1"/>
    <col min="3" max="3" width="14.85546875" customWidth="1"/>
    <col min="4" max="4" width="14" customWidth="1"/>
    <col min="8" max="8" width="14.42578125" customWidth="1"/>
    <col min="9" max="9" width="18.7109375" customWidth="1"/>
    <col min="10" max="10" width="23.28515625" customWidth="1"/>
  </cols>
  <sheetData>
    <row r="1" spans="1:4" x14ac:dyDescent="0.25">
      <c r="A1" s="66" t="s">
        <v>586</v>
      </c>
      <c r="B1" s="66"/>
      <c r="C1" s="66"/>
      <c r="D1" s="66"/>
    </row>
    <row r="2" spans="1:4" x14ac:dyDescent="0.25">
      <c r="A2" s="72" t="s">
        <v>467</v>
      </c>
      <c r="B2" s="1" t="s">
        <v>0</v>
      </c>
      <c r="C2" s="1" t="s">
        <v>202</v>
      </c>
      <c r="D2" s="1" t="s">
        <v>9</v>
      </c>
    </row>
    <row r="3" spans="1:4" x14ac:dyDescent="0.25">
      <c r="A3" s="73"/>
      <c r="B3" s="1" t="s">
        <v>468</v>
      </c>
      <c r="C3" s="1" t="s">
        <v>797</v>
      </c>
      <c r="D3" s="1">
        <v>1.1499999999999999</v>
      </c>
    </row>
    <row r="4" spans="1:4" x14ac:dyDescent="0.25">
      <c r="A4" s="73"/>
      <c r="B4" s="1" t="s">
        <v>469</v>
      </c>
      <c r="C4" s="1" t="s">
        <v>456</v>
      </c>
      <c r="D4" s="1">
        <v>3.5750000000000002</v>
      </c>
    </row>
    <row r="5" spans="1:4" x14ac:dyDescent="0.25">
      <c r="A5" s="73"/>
      <c r="B5" s="1" t="s">
        <v>428</v>
      </c>
      <c r="C5" s="1" t="s">
        <v>244</v>
      </c>
      <c r="D5" s="1">
        <v>1.35</v>
      </c>
    </row>
    <row r="6" spans="1:4" x14ac:dyDescent="0.25">
      <c r="A6" s="73"/>
      <c r="B6" s="1" t="s">
        <v>470</v>
      </c>
      <c r="C6" s="1" t="s">
        <v>166</v>
      </c>
      <c r="D6" s="1">
        <v>8.6999999999999994E-2</v>
      </c>
    </row>
    <row r="7" spans="1:4" x14ac:dyDescent="0.25">
      <c r="A7" s="73"/>
      <c r="B7" s="1" t="s">
        <v>471</v>
      </c>
      <c r="C7" s="1" t="s">
        <v>11</v>
      </c>
      <c r="D7" s="1">
        <v>0.255</v>
      </c>
    </row>
    <row r="8" spans="1:4" x14ac:dyDescent="0.25">
      <c r="A8" s="73"/>
      <c r="B8" s="1" t="s">
        <v>472</v>
      </c>
      <c r="C8" s="1" t="s">
        <v>29</v>
      </c>
      <c r="D8" s="1">
        <v>0.02</v>
      </c>
    </row>
    <row r="9" spans="1:4" x14ac:dyDescent="0.25">
      <c r="A9" s="73"/>
      <c r="B9" s="1" t="s">
        <v>207</v>
      </c>
      <c r="C9" s="1" t="s">
        <v>12</v>
      </c>
      <c r="D9" s="1">
        <v>0.02</v>
      </c>
    </row>
    <row r="10" spans="1:4" x14ac:dyDescent="0.25">
      <c r="A10" s="73"/>
      <c r="B10" s="1" t="s">
        <v>473</v>
      </c>
      <c r="C10" s="1" t="s">
        <v>166</v>
      </c>
      <c r="D10" s="1">
        <v>7.3999999999999996E-2</v>
      </c>
    </row>
    <row r="11" spans="1:4" x14ac:dyDescent="0.25">
      <c r="A11" s="73"/>
      <c r="B11" s="1" t="s">
        <v>211</v>
      </c>
      <c r="C11" s="1" t="s">
        <v>167</v>
      </c>
      <c r="D11" s="1">
        <v>0.05</v>
      </c>
    </row>
    <row r="12" spans="1:4" x14ac:dyDescent="0.25">
      <c r="A12" s="73"/>
      <c r="B12" s="1" t="s">
        <v>733</v>
      </c>
      <c r="C12" s="1" t="s">
        <v>13</v>
      </c>
      <c r="D12" s="1">
        <v>1.71</v>
      </c>
    </row>
    <row r="13" spans="1:4" x14ac:dyDescent="0.25">
      <c r="A13" s="50"/>
      <c r="B13" s="50"/>
      <c r="C13" s="50"/>
      <c r="D13" s="7">
        <f>SUM(D3:D12)</f>
        <v>8.2909999999999968</v>
      </c>
    </row>
    <row r="14" spans="1:4" ht="15" customHeight="1" x14ac:dyDescent="0.25"/>
    <row r="16" spans="1:4" x14ac:dyDescent="0.25">
      <c r="A16" s="72" t="s">
        <v>474</v>
      </c>
      <c r="B16" s="1" t="s">
        <v>0</v>
      </c>
      <c r="C16" s="1" t="s">
        <v>202</v>
      </c>
      <c r="D16" s="1" t="s">
        <v>9</v>
      </c>
    </row>
    <row r="17" spans="1:4" x14ac:dyDescent="0.25">
      <c r="A17" s="73"/>
      <c r="B17" s="1" t="s">
        <v>414</v>
      </c>
      <c r="C17" s="1" t="s">
        <v>244</v>
      </c>
      <c r="D17" s="1">
        <v>1.35</v>
      </c>
    </row>
    <row r="18" spans="1:4" x14ac:dyDescent="0.25">
      <c r="A18" s="73"/>
      <c r="B18" s="1" t="s">
        <v>469</v>
      </c>
      <c r="C18" s="1" t="s">
        <v>456</v>
      </c>
      <c r="D18" s="1">
        <v>3.5750000000000002</v>
      </c>
    </row>
    <row r="19" spans="1:4" x14ac:dyDescent="0.25">
      <c r="A19" s="73"/>
      <c r="B19" s="1" t="s">
        <v>468</v>
      </c>
      <c r="C19" s="1" t="s">
        <v>797</v>
      </c>
      <c r="D19" s="1">
        <v>1.1499999999999999</v>
      </c>
    </row>
    <row r="20" spans="1:4" x14ac:dyDescent="0.25">
      <c r="A20" s="73"/>
      <c r="B20" s="1" t="s">
        <v>475</v>
      </c>
      <c r="C20" s="1" t="s">
        <v>10</v>
      </c>
      <c r="D20" s="1">
        <v>1.75</v>
      </c>
    </row>
    <row r="21" spans="1:4" x14ac:dyDescent="0.25">
      <c r="A21" s="73"/>
      <c r="B21" s="1" t="s">
        <v>243</v>
      </c>
      <c r="C21" s="1" t="s">
        <v>15</v>
      </c>
      <c r="D21" s="1">
        <v>0.77500000000000002</v>
      </c>
    </row>
    <row r="22" spans="1:4" x14ac:dyDescent="0.25">
      <c r="A22" s="73"/>
      <c r="B22" s="1" t="s">
        <v>207</v>
      </c>
      <c r="C22" s="1" t="s">
        <v>12</v>
      </c>
      <c r="D22" s="1">
        <v>0.02</v>
      </c>
    </row>
    <row r="23" spans="1:4" x14ac:dyDescent="0.25">
      <c r="A23" s="73"/>
      <c r="B23" s="1" t="s">
        <v>472</v>
      </c>
      <c r="C23" s="1" t="s">
        <v>29</v>
      </c>
      <c r="D23" s="1">
        <v>0.02</v>
      </c>
    </row>
    <row r="24" spans="1:4" x14ac:dyDescent="0.25">
      <c r="A24" s="73"/>
      <c r="B24" s="1" t="s">
        <v>471</v>
      </c>
      <c r="C24" s="1" t="s">
        <v>11</v>
      </c>
      <c r="D24" s="1">
        <v>0.255</v>
      </c>
    </row>
    <row r="25" spans="1:4" x14ac:dyDescent="0.25">
      <c r="A25" s="73"/>
      <c r="B25" s="1" t="s">
        <v>211</v>
      </c>
      <c r="C25" s="1" t="s">
        <v>167</v>
      </c>
      <c r="D25" s="1">
        <v>0.05</v>
      </c>
    </row>
    <row r="26" spans="1:4" x14ac:dyDescent="0.25">
      <c r="A26" s="50"/>
      <c r="B26" s="50"/>
      <c r="C26" s="50"/>
      <c r="D26" s="7">
        <f>SUM(D17:D25)</f>
        <v>8.9450000000000021</v>
      </c>
    </row>
    <row r="28" spans="1:4" x14ac:dyDescent="0.25">
      <c r="A28" s="72" t="s">
        <v>476</v>
      </c>
      <c r="B28" s="1" t="s">
        <v>0</v>
      </c>
      <c r="C28" s="1" t="s">
        <v>202</v>
      </c>
      <c r="D28" s="1" t="s">
        <v>9</v>
      </c>
    </row>
    <row r="29" spans="1:4" x14ac:dyDescent="0.25">
      <c r="A29" s="73"/>
      <c r="B29" s="1" t="s">
        <v>414</v>
      </c>
      <c r="C29" s="1" t="s">
        <v>244</v>
      </c>
      <c r="D29" s="1">
        <v>1.35</v>
      </c>
    </row>
    <row r="30" spans="1:4" x14ac:dyDescent="0.25">
      <c r="A30" s="73"/>
      <c r="B30" s="1" t="s">
        <v>469</v>
      </c>
      <c r="C30" s="1" t="s">
        <v>456</v>
      </c>
      <c r="D30" s="1">
        <v>3.5750000000000002</v>
      </c>
    </row>
    <row r="31" spans="1:4" x14ac:dyDescent="0.25">
      <c r="A31" s="73"/>
      <c r="B31" s="1" t="s">
        <v>477</v>
      </c>
      <c r="C31" s="1" t="s">
        <v>10</v>
      </c>
      <c r="D31" s="1">
        <v>0.43099999999999999</v>
      </c>
    </row>
    <row r="32" spans="1:4" x14ac:dyDescent="0.25">
      <c r="A32" s="73"/>
      <c r="B32" s="1" t="s">
        <v>472</v>
      </c>
      <c r="C32" s="1" t="s">
        <v>29</v>
      </c>
      <c r="D32" s="1">
        <v>0.02</v>
      </c>
    </row>
    <row r="33" spans="1:4" x14ac:dyDescent="0.25">
      <c r="A33" s="73"/>
      <c r="B33" s="1" t="s">
        <v>207</v>
      </c>
      <c r="C33" s="1" t="s">
        <v>12</v>
      </c>
      <c r="D33" s="1">
        <v>0.02</v>
      </c>
    </row>
    <row r="34" spans="1:4" x14ac:dyDescent="0.25">
      <c r="A34" s="73"/>
      <c r="B34" s="1" t="s">
        <v>796</v>
      </c>
      <c r="C34" s="20" t="s">
        <v>17</v>
      </c>
      <c r="D34" s="1">
        <v>12</v>
      </c>
    </row>
    <row r="35" spans="1:4" x14ac:dyDescent="0.25">
      <c r="A35" s="73"/>
      <c r="B35" s="1" t="s">
        <v>471</v>
      </c>
      <c r="C35" s="1" t="s">
        <v>11</v>
      </c>
      <c r="D35" s="1">
        <v>0.255</v>
      </c>
    </row>
    <row r="36" spans="1:4" x14ac:dyDescent="0.25">
      <c r="A36" s="73"/>
      <c r="B36" s="1" t="s">
        <v>211</v>
      </c>
      <c r="C36" s="1" t="s">
        <v>167</v>
      </c>
      <c r="D36" s="1">
        <v>0.05</v>
      </c>
    </row>
    <row r="37" spans="1:4" x14ac:dyDescent="0.25">
      <c r="A37" s="73"/>
      <c r="B37" s="1"/>
      <c r="C37" s="1"/>
      <c r="D37" s="1"/>
    </row>
    <row r="38" spans="1:4" x14ac:dyDescent="0.25">
      <c r="A38" s="50"/>
      <c r="B38" s="50"/>
      <c r="C38" s="50"/>
      <c r="D38" s="7">
        <f>SUM(D29:D37)</f>
        <v>17.701000000000001</v>
      </c>
    </row>
    <row r="51" spans="1:4" x14ac:dyDescent="0.25">
      <c r="A51" s="72" t="s">
        <v>478</v>
      </c>
      <c r="B51" s="1" t="s">
        <v>0</v>
      </c>
      <c r="C51" s="1" t="s">
        <v>202</v>
      </c>
      <c r="D51" s="1" t="s">
        <v>9</v>
      </c>
    </row>
    <row r="52" spans="1:4" x14ac:dyDescent="0.25">
      <c r="A52" s="73"/>
      <c r="B52" s="1" t="s">
        <v>414</v>
      </c>
      <c r="C52" s="1" t="s">
        <v>244</v>
      </c>
      <c r="D52" s="1">
        <v>1.35</v>
      </c>
    </row>
    <row r="53" spans="1:4" x14ac:dyDescent="0.25">
      <c r="A53" s="73"/>
      <c r="B53" s="1" t="s">
        <v>469</v>
      </c>
      <c r="C53" s="1" t="s">
        <v>456</v>
      </c>
      <c r="D53" s="1">
        <v>3.5750000000000002</v>
      </c>
    </row>
    <row r="54" spans="1:4" x14ac:dyDescent="0.25">
      <c r="A54" s="73"/>
      <c r="B54" s="1" t="s">
        <v>468</v>
      </c>
      <c r="C54" s="1" t="s">
        <v>797</v>
      </c>
      <c r="D54" s="1">
        <v>1.1499999999999999</v>
      </c>
    </row>
    <row r="55" spans="1:4" x14ac:dyDescent="0.25">
      <c r="A55" s="73"/>
      <c r="B55" s="1" t="s">
        <v>479</v>
      </c>
      <c r="C55" s="1" t="s">
        <v>168</v>
      </c>
      <c r="D55" s="1">
        <v>0.28000000000000003</v>
      </c>
    </row>
    <row r="56" spans="1:4" x14ac:dyDescent="0.25">
      <c r="A56" s="73"/>
      <c r="B56" s="1" t="s">
        <v>411</v>
      </c>
      <c r="C56" s="1" t="s">
        <v>166</v>
      </c>
      <c r="D56" s="1">
        <v>1.2749999999999999</v>
      </c>
    </row>
    <row r="57" spans="1:4" x14ac:dyDescent="0.25">
      <c r="A57" s="73"/>
      <c r="B57" s="1" t="s">
        <v>480</v>
      </c>
      <c r="C57" s="20" t="s">
        <v>29</v>
      </c>
      <c r="D57" s="1">
        <v>0.02</v>
      </c>
    </row>
    <row r="58" spans="1:4" x14ac:dyDescent="0.25">
      <c r="A58" s="73"/>
      <c r="B58" s="1" t="s">
        <v>211</v>
      </c>
      <c r="C58" s="1" t="s">
        <v>167</v>
      </c>
      <c r="D58" s="1">
        <v>0.05</v>
      </c>
    </row>
    <row r="59" spans="1:4" x14ac:dyDescent="0.25">
      <c r="A59" s="73"/>
      <c r="B59" s="1" t="s">
        <v>16</v>
      </c>
      <c r="C59" s="1" t="s">
        <v>29</v>
      </c>
      <c r="D59" s="1">
        <v>0.05</v>
      </c>
    </row>
    <row r="60" spans="1:4" x14ac:dyDescent="0.25">
      <c r="A60" s="73"/>
      <c r="B60" s="1" t="s">
        <v>207</v>
      </c>
      <c r="C60" s="1" t="s">
        <v>12</v>
      </c>
      <c r="D60" s="1">
        <v>0.02</v>
      </c>
    </row>
    <row r="61" spans="1:4" x14ac:dyDescent="0.25">
      <c r="A61" s="73"/>
      <c r="B61" s="1" t="s">
        <v>471</v>
      </c>
      <c r="C61" s="1" t="s">
        <v>11</v>
      </c>
      <c r="D61" s="1">
        <v>0.255</v>
      </c>
    </row>
    <row r="62" spans="1:4" x14ac:dyDescent="0.25">
      <c r="A62" s="50"/>
      <c r="B62" s="50"/>
      <c r="C62" s="50"/>
      <c r="D62" s="7">
        <f>SUM(D52:D61)</f>
        <v>8.0250000000000004</v>
      </c>
    </row>
    <row r="64" spans="1:4" x14ac:dyDescent="0.25">
      <c r="A64" s="72" t="s">
        <v>481</v>
      </c>
      <c r="B64" s="1" t="s">
        <v>0</v>
      </c>
      <c r="C64" s="1" t="s">
        <v>202</v>
      </c>
      <c r="D64" s="1" t="s">
        <v>9</v>
      </c>
    </row>
    <row r="65" spans="1:4" x14ac:dyDescent="0.25">
      <c r="A65" s="73"/>
      <c r="B65" s="1" t="s">
        <v>414</v>
      </c>
      <c r="C65" s="1" t="s">
        <v>244</v>
      </c>
      <c r="D65" s="1">
        <v>1.35</v>
      </c>
    </row>
    <row r="66" spans="1:4" x14ac:dyDescent="0.25">
      <c r="A66" s="73"/>
      <c r="B66" s="1" t="s">
        <v>469</v>
      </c>
      <c r="C66" s="1" t="s">
        <v>456</v>
      </c>
      <c r="D66" s="1">
        <v>3.5750000000000002</v>
      </c>
    </row>
    <row r="67" spans="1:4" x14ac:dyDescent="0.25">
      <c r="A67" s="73"/>
      <c r="B67" s="1" t="s">
        <v>477</v>
      </c>
      <c r="C67" s="1" t="s">
        <v>10</v>
      </c>
      <c r="D67" s="1">
        <v>0.43099999999999999</v>
      </c>
    </row>
    <row r="68" spans="1:4" x14ac:dyDescent="0.25">
      <c r="A68" s="73"/>
      <c r="B68" s="1" t="s">
        <v>480</v>
      </c>
      <c r="C68" s="20" t="s">
        <v>29</v>
      </c>
      <c r="D68" s="1">
        <v>0.02</v>
      </c>
    </row>
    <row r="69" spans="1:4" x14ac:dyDescent="0.25">
      <c r="A69" s="73"/>
      <c r="B69" s="1" t="s">
        <v>207</v>
      </c>
      <c r="C69" s="1" t="s">
        <v>12</v>
      </c>
      <c r="D69" s="1">
        <v>0.02</v>
      </c>
    </row>
    <row r="70" spans="1:4" x14ac:dyDescent="0.25">
      <c r="A70" s="73"/>
      <c r="B70" s="1" t="s">
        <v>211</v>
      </c>
      <c r="C70" s="1" t="s">
        <v>167</v>
      </c>
      <c r="D70" s="1">
        <v>0.05</v>
      </c>
    </row>
    <row r="71" spans="1:4" x14ac:dyDescent="0.25">
      <c r="A71" s="73"/>
      <c r="B71" s="1" t="s">
        <v>471</v>
      </c>
      <c r="C71" s="1" t="s">
        <v>11</v>
      </c>
      <c r="D71" s="1">
        <v>0.255</v>
      </c>
    </row>
    <row r="72" spans="1:4" x14ac:dyDescent="0.25">
      <c r="A72" s="73"/>
      <c r="D72" s="1"/>
    </row>
    <row r="73" spans="1:4" x14ac:dyDescent="0.25">
      <c r="A73" s="73"/>
      <c r="B73" s="1"/>
      <c r="C73" s="1"/>
      <c r="D73" s="1"/>
    </row>
    <row r="74" spans="1:4" x14ac:dyDescent="0.25">
      <c r="A74" s="50"/>
      <c r="B74" s="50"/>
      <c r="C74" s="50"/>
      <c r="D74" s="7">
        <f>SUM(D65:D73)</f>
        <v>5.7009999999999996</v>
      </c>
    </row>
    <row r="76" spans="1:4" x14ac:dyDescent="0.25">
      <c r="A76" s="72" t="s">
        <v>482</v>
      </c>
      <c r="B76" s="1" t="s">
        <v>0</v>
      </c>
      <c r="C76" s="1" t="s">
        <v>202</v>
      </c>
      <c r="D76" s="1" t="s">
        <v>9</v>
      </c>
    </row>
    <row r="77" spans="1:4" x14ac:dyDescent="0.25">
      <c r="A77" s="73"/>
      <c r="B77" s="1" t="s">
        <v>414</v>
      </c>
      <c r="C77" s="1" t="s">
        <v>244</v>
      </c>
      <c r="D77" s="1">
        <v>1.35</v>
      </c>
    </row>
    <row r="78" spans="1:4" x14ac:dyDescent="0.25">
      <c r="A78" s="73"/>
      <c r="B78" s="1" t="s">
        <v>469</v>
      </c>
      <c r="C78" s="1" t="s">
        <v>456</v>
      </c>
      <c r="D78" s="1">
        <v>3.5750000000000002</v>
      </c>
    </row>
    <row r="79" spans="1:4" x14ac:dyDescent="0.25">
      <c r="A79" s="73"/>
      <c r="B79" s="1" t="s">
        <v>477</v>
      </c>
      <c r="C79" s="1" t="s">
        <v>10</v>
      </c>
      <c r="D79" s="1">
        <v>0.43099999999999999</v>
      </c>
    </row>
    <row r="80" spans="1:4" x14ac:dyDescent="0.25">
      <c r="A80" s="73"/>
      <c r="B80" s="1" t="s">
        <v>23</v>
      </c>
      <c r="C80" s="20" t="s">
        <v>271</v>
      </c>
      <c r="D80" s="1">
        <v>3.19</v>
      </c>
    </row>
    <row r="81" spans="1:4" x14ac:dyDescent="0.25">
      <c r="A81" s="73"/>
      <c r="B81" s="1" t="s">
        <v>472</v>
      </c>
      <c r="C81" s="1" t="s">
        <v>29</v>
      </c>
      <c r="D81" s="1">
        <v>0.02</v>
      </c>
    </row>
    <row r="82" spans="1:4" x14ac:dyDescent="0.25">
      <c r="A82" s="73"/>
      <c r="B82" s="4" t="s">
        <v>207</v>
      </c>
      <c r="C82" s="4" t="s">
        <v>12</v>
      </c>
      <c r="D82" s="1">
        <v>0.02</v>
      </c>
    </row>
    <row r="83" spans="1:4" x14ac:dyDescent="0.25">
      <c r="A83" s="73"/>
      <c r="B83" s="1" t="s">
        <v>211</v>
      </c>
      <c r="C83" s="1" t="s">
        <v>167</v>
      </c>
      <c r="D83" s="1">
        <v>0.05</v>
      </c>
    </row>
    <row r="84" spans="1:4" x14ac:dyDescent="0.25">
      <c r="A84" s="73"/>
      <c r="B84" s="1" t="s">
        <v>471</v>
      </c>
      <c r="C84" s="1" t="s">
        <v>11</v>
      </c>
      <c r="D84" s="1">
        <v>0.255</v>
      </c>
    </row>
    <row r="85" spans="1:4" x14ac:dyDescent="0.25">
      <c r="A85" s="73"/>
      <c r="B85" s="1"/>
      <c r="C85" s="1"/>
      <c r="D85" s="1"/>
    </row>
    <row r="86" spans="1:4" x14ac:dyDescent="0.25">
      <c r="A86" s="50"/>
      <c r="B86" s="50"/>
      <c r="C86" s="50"/>
      <c r="D86" s="7">
        <f>SUM(D77:D85)</f>
        <v>8.8910000000000018</v>
      </c>
    </row>
    <row r="88" spans="1:4" x14ac:dyDescent="0.25">
      <c r="A88" s="72" t="s">
        <v>483</v>
      </c>
      <c r="B88" s="1" t="s">
        <v>0</v>
      </c>
      <c r="C88" s="1" t="s">
        <v>202</v>
      </c>
      <c r="D88" s="1" t="s">
        <v>9</v>
      </c>
    </row>
    <row r="89" spans="1:4" x14ac:dyDescent="0.25">
      <c r="A89" s="73"/>
      <c r="B89" s="1" t="s">
        <v>414</v>
      </c>
      <c r="C89" s="1" t="s">
        <v>244</v>
      </c>
      <c r="D89" s="1">
        <v>1.35</v>
      </c>
    </row>
    <row r="90" spans="1:4" x14ac:dyDescent="0.25">
      <c r="A90" s="73"/>
      <c r="B90" s="1" t="s">
        <v>469</v>
      </c>
      <c r="C90" s="1" t="s">
        <v>456</v>
      </c>
      <c r="D90" s="1">
        <v>3.5750000000000002</v>
      </c>
    </row>
    <row r="91" spans="1:4" x14ac:dyDescent="0.25">
      <c r="A91" s="73"/>
      <c r="B91" s="1" t="s">
        <v>477</v>
      </c>
      <c r="C91" s="1" t="s">
        <v>10</v>
      </c>
      <c r="D91" s="1">
        <v>0.43099999999999999</v>
      </c>
    </row>
    <row r="92" spans="1:4" x14ac:dyDescent="0.25">
      <c r="A92" s="73"/>
      <c r="B92" s="1" t="s">
        <v>484</v>
      </c>
      <c r="C92" s="20" t="s">
        <v>180</v>
      </c>
      <c r="D92" s="1">
        <v>1.54</v>
      </c>
    </row>
    <row r="93" spans="1:4" x14ac:dyDescent="0.25">
      <c r="A93" s="73"/>
      <c r="B93" s="1" t="s">
        <v>472</v>
      </c>
      <c r="C93" s="1" t="s">
        <v>29</v>
      </c>
      <c r="D93" s="1">
        <v>0.02</v>
      </c>
    </row>
    <row r="94" spans="1:4" x14ac:dyDescent="0.25">
      <c r="A94" s="73"/>
      <c r="B94" s="4" t="s">
        <v>207</v>
      </c>
      <c r="C94" s="4" t="s">
        <v>12</v>
      </c>
      <c r="D94" s="1">
        <v>0.02</v>
      </c>
    </row>
    <row r="95" spans="1:4" x14ac:dyDescent="0.25">
      <c r="A95" s="73"/>
      <c r="B95" s="1" t="s">
        <v>211</v>
      </c>
      <c r="C95" s="1" t="s">
        <v>167</v>
      </c>
      <c r="D95" s="1">
        <v>0.05</v>
      </c>
    </row>
    <row r="96" spans="1:4" x14ac:dyDescent="0.25">
      <c r="A96" s="73"/>
      <c r="B96" s="1" t="s">
        <v>471</v>
      </c>
      <c r="C96" s="1" t="s">
        <v>11</v>
      </c>
      <c r="D96" s="1">
        <v>0.255</v>
      </c>
    </row>
    <row r="97" spans="1:4" x14ac:dyDescent="0.25">
      <c r="A97" s="73"/>
      <c r="B97" s="1"/>
      <c r="C97" s="1"/>
      <c r="D97" s="1"/>
    </row>
    <row r="98" spans="1:4" x14ac:dyDescent="0.25">
      <c r="A98" s="50"/>
      <c r="B98" s="50"/>
      <c r="C98" s="50"/>
      <c r="D98" s="7">
        <f>SUM(D89:D97)</f>
        <v>7.2409999999999997</v>
      </c>
    </row>
    <row r="101" spans="1:4" x14ac:dyDescent="0.25">
      <c r="A101" s="72" t="s">
        <v>485</v>
      </c>
      <c r="B101" s="1" t="s">
        <v>0</v>
      </c>
      <c r="C101" s="1" t="s">
        <v>202</v>
      </c>
      <c r="D101" s="1" t="s">
        <v>9</v>
      </c>
    </row>
    <row r="102" spans="1:4" x14ac:dyDescent="0.25">
      <c r="A102" s="73"/>
      <c r="B102" s="1" t="s">
        <v>414</v>
      </c>
      <c r="C102" s="1" t="s">
        <v>244</v>
      </c>
      <c r="D102" s="1">
        <v>1.35</v>
      </c>
    </row>
    <row r="103" spans="1:4" x14ac:dyDescent="0.25">
      <c r="A103" s="73"/>
      <c r="B103" s="1" t="s">
        <v>469</v>
      </c>
      <c r="C103" s="1" t="s">
        <v>456</v>
      </c>
      <c r="D103" s="1">
        <v>3.5750000000000002</v>
      </c>
    </row>
    <row r="104" spans="1:4" x14ac:dyDescent="0.25">
      <c r="A104" s="73"/>
      <c r="B104" s="1" t="s">
        <v>477</v>
      </c>
      <c r="C104" s="1" t="s">
        <v>10</v>
      </c>
      <c r="D104" s="1">
        <v>0.43099999999999999</v>
      </c>
    </row>
    <row r="105" spans="1:4" x14ac:dyDescent="0.25">
      <c r="A105" s="73"/>
      <c r="B105" s="1" t="s">
        <v>486</v>
      </c>
      <c r="C105" s="20" t="s">
        <v>171</v>
      </c>
      <c r="D105" s="1">
        <v>0.3</v>
      </c>
    </row>
    <row r="106" spans="1:4" x14ac:dyDescent="0.25">
      <c r="A106" s="73"/>
      <c r="B106" s="1" t="s">
        <v>487</v>
      </c>
      <c r="C106" s="1" t="s">
        <v>171</v>
      </c>
      <c r="D106" s="1">
        <v>0.3</v>
      </c>
    </row>
    <row r="107" spans="1:4" x14ac:dyDescent="0.25">
      <c r="A107" s="73"/>
      <c r="B107" s="4" t="s">
        <v>210</v>
      </c>
      <c r="C107" s="4" t="s">
        <v>171</v>
      </c>
      <c r="D107" s="1">
        <v>0.17</v>
      </c>
    </row>
    <row r="108" spans="1:4" x14ac:dyDescent="0.25">
      <c r="A108" s="73"/>
      <c r="B108" s="1" t="s">
        <v>488</v>
      </c>
      <c r="C108" s="1" t="s">
        <v>458</v>
      </c>
      <c r="D108" s="1">
        <v>1.98</v>
      </c>
    </row>
    <row r="109" spans="1:4" x14ac:dyDescent="0.25">
      <c r="A109" s="73"/>
      <c r="B109" s="4" t="s">
        <v>489</v>
      </c>
      <c r="C109" s="4" t="s">
        <v>12</v>
      </c>
      <c r="D109" s="1">
        <v>0.02</v>
      </c>
    </row>
    <row r="110" spans="1:4" x14ac:dyDescent="0.25">
      <c r="A110" s="73"/>
      <c r="B110" s="1" t="s">
        <v>211</v>
      </c>
      <c r="C110" s="1" t="s">
        <v>167</v>
      </c>
      <c r="D110" s="1">
        <v>0.05</v>
      </c>
    </row>
    <row r="111" spans="1:4" x14ac:dyDescent="0.25">
      <c r="A111" s="73"/>
      <c r="B111" s="1" t="s">
        <v>471</v>
      </c>
      <c r="C111" s="1" t="s">
        <v>11</v>
      </c>
      <c r="D111" s="1">
        <v>0.255</v>
      </c>
    </row>
    <row r="112" spans="1:4" x14ac:dyDescent="0.25">
      <c r="A112" s="73"/>
      <c r="B112" s="1" t="s">
        <v>472</v>
      </c>
      <c r="C112" s="1" t="s">
        <v>29</v>
      </c>
      <c r="D112" s="1">
        <v>0.02</v>
      </c>
    </row>
    <row r="113" spans="1:4" x14ac:dyDescent="0.25">
      <c r="A113" s="50"/>
      <c r="B113" s="50"/>
      <c r="C113" s="50"/>
      <c r="D113" s="7">
        <f>SUM(D102:D112)</f>
        <v>8.4510000000000005</v>
      </c>
    </row>
    <row r="115" spans="1:4" x14ac:dyDescent="0.25">
      <c r="A115" s="72" t="s">
        <v>490</v>
      </c>
      <c r="B115" s="1" t="s">
        <v>0</v>
      </c>
      <c r="C115" s="1" t="s">
        <v>202</v>
      </c>
      <c r="D115" s="1" t="s">
        <v>9</v>
      </c>
    </row>
    <row r="116" spans="1:4" x14ac:dyDescent="0.25">
      <c r="A116" s="73"/>
      <c r="B116" s="1" t="s">
        <v>414</v>
      </c>
      <c r="C116" s="1" t="s">
        <v>244</v>
      </c>
      <c r="D116" s="1">
        <v>1.35</v>
      </c>
    </row>
    <row r="117" spans="1:4" x14ac:dyDescent="0.25">
      <c r="A117" s="73"/>
      <c r="B117" s="1" t="s">
        <v>469</v>
      </c>
      <c r="C117" s="1" t="s">
        <v>456</v>
      </c>
      <c r="D117" s="1">
        <v>3.5750000000000002</v>
      </c>
    </row>
    <row r="118" spans="1:4" x14ac:dyDescent="0.25">
      <c r="A118" s="73"/>
      <c r="B118" s="1" t="s">
        <v>468</v>
      </c>
      <c r="C118" s="1" t="s">
        <v>797</v>
      </c>
      <c r="D118" s="1">
        <v>1.1499999999999999</v>
      </c>
    </row>
    <row r="119" spans="1:4" x14ac:dyDescent="0.25">
      <c r="A119" s="73"/>
      <c r="B119" s="1" t="s">
        <v>491</v>
      </c>
      <c r="C119" s="20" t="s">
        <v>168</v>
      </c>
      <c r="D119" s="1">
        <v>0.88</v>
      </c>
    </row>
    <row r="120" spans="1:4" x14ac:dyDescent="0.25">
      <c r="A120" s="73"/>
      <c r="B120" s="1" t="s">
        <v>480</v>
      </c>
      <c r="C120" s="1" t="s">
        <v>29</v>
      </c>
      <c r="D120" s="1">
        <v>0.02</v>
      </c>
    </row>
    <row r="121" spans="1:4" x14ac:dyDescent="0.25">
      <c r="A121" s="73"/>
      <c r="B121" s="4" t="s">
        <v>207</v>
      </c>
      <c r="C121" s="4" t="s">
        <v>12</v>
      </c>
      <c r="D121" s="1">
        <v>0.02</v>
      </c>
    </row>
    <row r="122" spans="1:4" x14ac:dyDescent="0.25">
      <c r="A122" s="73"/>
      <c r="B122" s="1" t="s">
        <v>492</v>
      </c>
      <c r="C122" s="1" t="s">
        <v>12</v>
      </c>
      <c r="D122" s="1">
        <v>0.6</v>
      </c>
    </row>
    <row r="123" spans="1:4" x14ac:dyDescent="0.25">
      <c r="A123" s="73"/>
      <c r="B123" s="1" t="s">
        <v>211</v>
      </c>
      <c r="C123" s="1" t="s">
        <v>167</v>
      </c>
      <c r="D123" s="1">
        <v>0.05</v>
      </c>
    </row>
    <row r="124" spans="1:4" x14ac:dyDescent="0.25">
      <c r="A124" s="73"/>
      <c r="B124" s="1" t="s">
        <v>471</v>
      </c>
      <c r="C124" s="1" t="s">
        <v>11</v>
      </c>
      <c r="D124" s="1">
        <v>0.255</v>
      </c>
    </row>
    <row r="125" spans="1:4" x14ac:dyDescent="0.25">
      <c r="A125" s="50"/>
      <c r="B125" s="50"/>
      <c r="C125" s="50"/>
      <c r="D125" s="7">
        <f>SUM(D116:D124)</f>
        <v>7.8999999999999995</v>
      </c>
    </row>
    <row r="127" spans="1:4" x14ac:dyDescent="0.25">
      <c r="A127" s="72" t="s">
        <v>493</v>
      </c>
      <c r="B127" s="1" t="s">
        <v>0</v>
      </c>
      <c r="C127" s="1" t="s">
        <v>202</v>
      </c>
      <c r="D127" s="1" t="s">
        <v>9</v>
      </c>
    </row>
    <row r="128" spans="1:4" x14ac:dyDescent="0.25">
      <c r="A128" s="73"/>
      <c r="B128" s="1" t="s">
        <v>414</v>
      </c>
      <c r="C128" s="1" t="s">
        <v>244</v>
      </c>
      <c r="D128" s="1">
        <v>1.35</v>
      </c>
    </row>
    <row r="129" spans="1:4" x14ac:dyDescent="0.25">
      <c r="A129" s="73"/>
      <c r="B129" s="1" t="s">
        <v>469</v>
      </c>
      <c r="C129" s="1" t="s">
        <v>456</v>
      </c>
      <c r="D129" s="1">
        <v>3.5750000000000002</v>
      </c>
    </row>
    <row r="130" spans="1:4" x14ac:dyDescent="0.25">
      <c r="A130" s="73"/>
      <c r="B130" s="1" t="s">
        <v>477</v>
      </c>
      <c r="C130" s="1" t="s">
        <v>10</v>
      </c>
      <c r="D130" s="1">
        <v>0.43099999999999999</v>
      </c>
    </row>
    <row r="131" spans="1:4" x14ac:dyDescent="0.25">
      <c r="A131" s="73"/>
      <c r="B131" s="1" t="s">
        <v>488</v>
      </c>
      <c r="C131" s="1" t="s">
        <v>458</v>
      </c>
      <c r="D131" s="1">
        <v>1.98</v>
      </c>
    </row>
    <row r="132" spans="1:4" x14ac:dyDescent="0.25">
      <c r="A132" s="73"/>
      <c r="B132" s="1" t="s">
        <v>210</v>
      </c>
      <c r="C132" s="1" t="s">
        <v>11</v>
      </c>
      <c r="D132" s="1">
        <v>8.5000000000000006E-2</v>
      </c>
    </row>
    <row r="133" spans="1:4" x14ac:dyDescent="0.25">
      <c r="A133" s="73"/>
      <c r="B133" s="4" t="s">
        <v>23</v>
      </c>
      <c r="C133" s="4" t="s">
        <v>271</v>
      </c>
      <c r="D133" s="1">
        <v>3.19</v>
      </c>
    </row>
    <row r="134" spans="1:4" x14ac:dyDescent="0.25">
      <c r="A134" s="73"/>
      <c r="B134" s="1" t="s">
        <v>491</v>
      </c>
      <c r="C134" s="1" t="s">
        <v>168</v>
      </c>
      <c r="D134" s="1">
        <v>0.88</v>
      </c>
    </row>
    <row r="135" spans="1:4" x14ac:dyDescent="0.25">
      <c r="A135" s="73"/>
      <c r="B135" s="4" t="s">
        <v>494</v>
      </c>
      <c r="C135" s="4" t="s">
        <v>12</v>
      </c>
      <c r="D135" s="1">
        <v>0.15</v>
      </c>
    </row>
    <row r="136" spans="1:4" x14ac:dyDescent="0.25">
      <c r="A136" s="73"/>
      <c r="B136" s="4" t="s">
        <v>207</v>
      </c>
      <c r="C136" s="4" t="s">
        <v>12</v>
      </c>
      <c r="D136" s="1">
        <v>0.02</v>
      </c>
    </row>
    <row r="137" spans="1:4" x14ac:dyDescent="0.25">
      <c r="A137" s="73"/>
      <c r="B137" s="1" t="s">
        <v>211</v>
      </c>
      <c r="C137" s="1" t="s">
        <v>167</v>
      </c>
      <c r="D137" s="1">
        <v>0.05</v>
      </c>
    </row>
    <row r="138" spans="1:4" x14ac:dyDescent="0.25">
      <c r="A138" s="73"/>
      <c r="B138" s="1" t="s">
        <v>471</v>
      </c>
      <c r="C138" s="1" t="s">
        <v>11</v>
      </c>
      <c r="D138" s="1">
        <v>0.255</v>
      </c>
    </row>
    <row r="139" spans="1:4" x14ac:dyDescent="0.25">
      <c r="A139" s="73"/>
      <c r="B139" s="1" t="s">
        <v>480</v>
      </c>
      <c r="C139" s="1" t="s">
        <v>29</v>
      </c>
      <c r="D139" s="1">
        <v>0.02</v>
      </c>
    </row>
    <row r="140" spans="1:4" x14ac:dyDescent="0.25">
      <c r="A140" s="50"/>
      <c r="B140" s="50"/>
      <c r="C140" s="50"/>
      <c r="D140" s="7">
        <f>SUM(D128:D139)</f>
        <v>11.986000000000002</v>
      </c>
    </row>
    <row r="151" spans="1:4" x14ac:dyDescent="0.25">
      <c r="A151" s="72" t="s">
        <v>495</v>
      </c>
      <c r="B151" s="1" t="s">
        <v>0</v>
      </c>
      <c r="C151" s="1" t="s">
        <v>202</v>
      </c>
      <c r="D151" s="1" t="s">
        <v>9</v>
      </c>
    </row>
    <row r="152" spans="1:4" x14ac:dyDescent="0.25">
      <c r="A152" s="73"/>
      <c r="B152" s="1" t="s">
        <v>414</v>
      </c>
      <c r="C152" s="1" t="s">
        <v>244</v>
      </c>
      <c r="D152" s="1">
        <v>1.35</v>
      </c>
    </row>
    <row r="153" spans="1:4" x14ac:dyDescent="0.25">
      <c r="A153" s="73"/>
      <c r="B153" s="1" t="s">
        <v>469</v>
      </c>
      <c r="C153" s="1" t="s">
        <v>456</v>
      </c>
      <c r="D153" s="1">
        <v>3.5750000000000002</v>
      </c>
    </row>
    <row r="154" spans="1:4" x14ac:dyDescent="0.25">
      <c r="A154" s="73"/>
      <c r="B154" s="1" t="s">
        <v>496</v>
      </c>
      <c r="C154" s="1" t="s">
        <v>271</v>
      </c>
      <c r="D154" s="1">
        <v>0.308</v>
      </c>
    </row>
    <row r="155" spans="1:4" x14ac:dyDescent="0.25">
      <c r="A155" s="73"/>
      <c r="B155" s="1" t="s">
        <v>497</v>
      </c>
      <c r="C155" s="20" t="s">
        <v>11</v>
      </c>
      <c r="D155" s="1">
        <v>0.1</v>
      </c>
    </row>
    <row r="156" spans="1:4" x14ac:dyDescent="0.25">
      <c r="A156" s="73"/>
      <c r="B156" s="1" t="s">
        <v>498</v>
      </c>
      <c r="C156" s="1" t="s">
        <v>14</v>
      </c>
      <c r="D156" s="1">
        <v>1.05</v>
      </c>
    </row>
    <row r="157" spans="1:4" x14ac:dyDescent="0.25">
      <c r="A157" s="73"/>
      <c r="B157" s="4" t="s">
        <v>472</v>
      </c>
      <c r="C157" s="4" t="s">
        <v>29</v>
      </c>
      <c r="D157" s="1">
        <v>0.02</v>
      </c>
    </row>
    <row r="158" spans="1:4" x14ac:dyDescent="0.25">
      <c r="A158" s="73"/>
      <c r="B158" s="1" t="s">
        <v>272</v>
      </c>
      <c r="C158" s="1" t="s">
        <v>12</v>
      </c>
      <c r="D158" s="1">
        <v>0.6</v>
      </c>
    </row>
    <row r="159" spans="1:4" x14ac:dyDescent="0.25">
      <c r="A159" s="73"/>
      <c r="B159" s="4" t="s">
        <v>16</v>
      </c>
      <c r="C159" s="4" t="s">
        <v>12</v>
      </c>
      <c r="D159" s="1">
        <v>0.02</v>
      </c>
    </row>
    <row r="160" spans="1:4" x14ac:dyDescent="0.25">
      <c r="A160" s="73"/>
      <c r="B160" s="4" t="s">
        <v>207</v>
      </c>
      <c r="C160" s="4" t="s">
        <v>12</v>
      </c>
      <c r="D160" s="1">
        <v>0.02</v>
      </c>
    </row>
    <row r="161" spans="1:4" x14ac:dyDescent="0.25">
      <c r="A161" s="73"/>
      <c r="B161" s="1" t="s">
        <v>471</v>
      </c>
      <c r="C161" s="1" t="s">
        <v>11</v>
      </c>
      <c r="D161" s="1">
        <v>0.255</v>
      </c>
    </row>
    <row r="162" spans="1:4" x14ac:dyDescent="0.25">
      <c r="A162" s="73"/>
      <c r="B162" s="1" t="s">
        <v>211</v>
      </c>
      <c r="C162" s="1" t="s">
        <v>167</v>
      </c>
      <c r="D162" s="1">
        <v>0.05</v>
      </c>
    </row>
    <row r="163" spans="1:4" x14ac:dyDescent="0.25">
      <c r="A163" s="50"/>
      <c r="B163" s="50"/>
      <c r="C163" s="50"/>
      <c r="D163" s="7">
        <f>SUM(D152:D162)</f>
        <v>7.3479999999999981</v>
      </c>
    </row>
    <row r="165" spans="1:4" x14ac:dyDescent="0.25">
      <c r="A165" s="72" t="s">
        <v>504</v>
      </c>
      <c r="B165" s="1" t="s">
        <v>0</v>
      </c>
      <c r="C165" s="1" t="s">
        <v>202</v>
      </c>
      <c r="D165" s="1" t="s">
        <v>9</v>
      </c>
    </row>
    <row r="166" spans="1:4" x14ac:dyDescent="0.25">
      <c r="A166" s="73"/>
      <c r="B166" s="1" t="s">
        <v>499</v>
      </c>
      <c r="C166" s="1" t="s">
        <v>14</v>
      </c>
      <c r="D166" s="1">
        <v>0.67500000000000004</v>
      </c>
    </row>
    <row r="167" spans="1:4" x14ac:dyDescent="0.25">
      <c r="A167" s="73"/>
      <c r="B167" s="1" t="s">
        <v>500</v>
      </c>
      <c r="C167" s="1" t="s">
        <v>271</v>
      </c>
      <c r="D167" s="1">
        <v>1.925</v>
      </c>
    </row>
    <row r="168" spans="1:4" x14ac:dyDescent="0.25">
      <c r="A168" s="73"/>
      <c r="B168" s="1" t="s">
        <v>346</v>
      </c>
      <c r="C168" s="1" t="s">
        <v>167</v>
      </c>
      <c r="D168" s="1">
        <v>0.31</v>
      </c>
    </row>
    <row r="169" spans="1:4" x14ac:dyDescent="0.25">
      <c r="A169" s="73"/>
      <c r="B169" s="1" t="s">
        <v>501</v>
      </c>
      <c r="C169" s="20" t="s">
        <v>167</v>
      </c>
      <c r="D169" s="1">
        <v>0.4</v>
      </c>
    </row>
    <row r="170" spans="1:4" x14ac:dyDescent="0.25">
      <c r="A170" s="73"/>
      <c r="B170" s="1" t="s">
        <v>502</v>
      </c>
      <c r="C170" s="1" t="s">
        <v>167</v>
      </c>
      <c r="D170" s="1">
        <v>0.05</v>
      </c>
    </row>
    <row r="171" spans="1:4" x14ac:dyDescent="0.25">
      <c r="A171" s="73"/>
      <c r="B171" s="4" t="s">
        <v>486</v>
      </c>
      <c r="C171" s="4" t="s">
        <v>29</v>
      </c>
      <c r="D171" s="1">
        <v>0.05</v>
      </c>
    </row>
    <row r="172" spans="1:4" x14ac:dyDescent="0.25">
      <c r="A172" s="73"/>
      <c r="B172" s="1" t="s">
        <v>487</v>
      </c>
      <c r="C172" s="1" t="s">
        <v>29</v>
      </c>
      <c r="D172" s="1">
        <v>0.05</v>
      </c>
    </row>
    <row r="173" spans="1:4" x14ac:dyDescent="0.25">
      <c r="A173" s="73"/>
      <c r="B173" s="4" t="s">
        <v>210</v>
      </c>
      <c r="C173" s="4" t="s">
        <v>29</v>
      </c>
      <c r="D173" s="1">
        <v>0.03</v>
      </c>
    </row>
    <row r="174" spans="1:4" x14ac:dyDescent="0.25">
      <c r="A174" s="73"/>
      <c r="B174" s="4" t="s">
        <v>503</v>
      </c>
      <c r="C174" s="4" t="s">
        <v>168</v>
      </c>
      <c r="D174" s="1">
        <v>1.92</v>
      </c>
    </row>
    <row r="175" spans="1:4" x14ac:dyDescent="0.25">
      <c r="A175" s="73"/>
      <c r="B175" s="1"/>
      <c r="C175" s="1"/>
      <c r="D175" s="1"/>
    </row>
    <row r="176" spans="1:4" x14ac:dyDescent="0.25">
      <c r="A176" s="50"/>
      <c r="B176" s="50"/>
      <c r="C176" s="50"/>
      <c r="D176" s="7">
        <f>SUM(D166:D175)</f>
        <v>5.4099999999999993</v>
      </c>
    </row>
    <row r="178" spans="1:4" x14ac:dyDescent="0.25">
      <c r="A178" s="72" t="s">
        <v>505</v>
      </c>
      <c r="B178" s="1" t="s">
        <v>0</v>
      </c>
      <c r="C178" s="1" t="s">
        <v>202</v>
      </c>
      <c r="D178" s="1" t="s">
        <v>9</v>
      </c>
    </row>
    <row r="179" spans="1:4" x14ac:dyDescent="0.25">
      <c r="A179" s="73"/>
      <c r="B179" s="1" t="s">
        <v>499</v>
      </c>
      <c r="C179" s="1" t="s">
        <v>14</v>
      </c>
      <c r="D179" s="1">
        <v>0.67500000000000004</v>
      </c>
    </row>
    <row r="180" spans="1:4" ht="15" customHeight="1" x14ac:dyDescent="0.25">
      <c r="A180" s="73"/>
      <c r="B180" s="1" t="s">
        <v>491</v>
      </c>
      <c r="C180" s="1" t="s">
        <v>171</v>
      </c>
      <c r="D180" s="1">
        <v>1.32</v>
      </c>
    </row>
    <row r="181" spans="1:4" x14ac:dyDescent="0.25">
      <c r="A181" s="73"/>
      <c r="B181" s="1" t="s">
        <v>346</v>
      </c>
      <c r="C181" s="1" t="s">
        <v>167</v>
      </c>
      <c r="D181" s="1">
        <v>0.31</v>
      </c>
    </row>
    <row r="182" spans="1:4" x14ac:dyDescent="0.25">
      <c r="A182" s="73"/>
      <c r="B182" s="1" t="s">
        <v>501</v>
      </c>
      <c r="C182" s="20" t="s">
        <v>167</v>
      </c>
      <c r="D182" s="1">
        <v>0.4</v>
      </c>
    </row>
    <row r="183" spans="1:4" x14ac:dyDescent="0.25">
      <c r="A183" s="73"/>
      <c r="B183" s="1" t="s">
        <v>502</v>
      </c>
      <c r="C183" s="1" t="s">
        <v>167</v>
      </c>
      <c r="D183" s="1">
        <v>0.05</v>
      </c>
    </row>
    <row r="184" spans="1:4" x14ac:dyDescent="0.25">
      <c r="A184" s="73"/>
      <c r="B184" s="4" t="s">
        <v>486</v>
      </c>
      <c r="C184" s="4" t="s">
        <v>29</v>
      </c>
      <c r="D184" s="1">
        <v>0.05</v>
      </c>
    </row>
    <row r="185" spans="1:4" x14ac:dyDescent="0.25">
      <c r="A185" s="73"/>
      <c r="B185" s="1" t="s">
        <v>487</v>
      </c>
      <c r="C185" s="1" t="s">
        <v>29</v>
      </c>
      <c r="D185" s="1">
        <v>0.05</v>
      </c>
    </row>
    <row r="186" spans="1:4" x14ac:dyDescent="0.25">
      <c r="A186" s="73"/>
      <c r="B186" s="4" t="s">
        <v>210</v>
      </c>
      <c r="C186" s="4" t="s">
        <v>29</v>
      </c>
      <c r="D186" s="1">
        <v>0.03</v>
      </c>
    </row>
    <row r="187" spans="1:4" x14ac:dyDescent="0.25">
      <c r="A187" s="73"/>
      <c r="B187" s="4" t="s">
        <v>503</v>
      </c>
      <c r="C187" s="4" t="s">
        <v>168</v>
      </c>
      <c r="D187" s="1">
        <v>1.92</v>
      </c>
    </row>
    <row r="188" spans="1:4" x14ac:dyDescent="0.25">
      <c r="A188" s="73"/>
      <c r="B188" s="1"/>
      <c r="C188" s="1"/>
      <c r="D188" s="1"/>
    </row>
    <row r="189" spans="1:4" x14ac:dyDescent="0.25">
      <c r="A189" s="50"/>
      <c r="B189" s="50"/>
      <c r="C189" s="50"/>
      <c r="D189" s="7">
        <f>SUM(D179:D188)</f>
        <v>4.8049999999999997</v>
      </c>
    </row>
    <row r="201" spans="1:4" x14ac:dyDescent="0.25">
      <c r="A201" s="72" t="s">
        <v>506</v>
      </c>
      <c r="B201" s="1" t="s">
        <v>0</v>
      </c>
      <c r="C201" s="1" t="s">
        <v>202</v>
      </c>
      <c r="D201" s="1" t="s">
        <v>9</v>
      </c>
    </row>
    <row r="202" spans="1:4" x14ac:dyDescent="0.25">
      <c r="A202" s="73"/>
      <c r="B202" s="1" t="s">
        <v>499</v>
      </c>
      <c r="C202" s="1" t="s">
        <v>14</v>
      </c>
      <c r="D202" s="1">
        <v>0.67500000000000004</v>
      </c>
    </row>
    <row r="203" spans="1:4" x14ac:dyDescent="0.25">
      <c r="A203" s="73"/>
      <c r="B203" s="1" t="s">
        <v>507</v>
      </c>
      <c r="C203" s="1" t="s">
        <v>14</v>
      </c>
      <c r="D203" s="1">
        <v>6</v>
      </c>
    </row>
    <row r="204" spans="1:4" x14ac:dyDescent="0.25">
      <c r="A204" s="73"/>
      <c r="B204" s="1" t="s">
        <v>346</v>
      </c>
      <c r="C204" s="1" t="s">
        <v>167</v>
      </c>
      <c r="D204" s="1">
        <v>0.31</v>
      </c>
    </row>
    <row r="205" spans="1:4" x14ac:dyDescent="0.25">
      <c r="A205" s="73"/>
      <c r="B205" s="1" t="s">
        <v>501</v>
      </c>
      <c r="C205" s="20" t="s">
        <v>167</v>
      </c>
      <c r="D205" s="1">
        <v>0.4</v>
      </c>
    </row>
    <row r="206" spans="1:4" x14ac:dyDescent="0.25">
      <c r="A206" s="73"/>
      <c r="B206" s="1" t="s">
        <v>502</v>
      </c>
      <c r="C206" s="1" t="s">
        <v>167</v>
      </c>
      <c r="D206" s="1">
        <v>0.05</v>
      </c>
    </row>
    <row r="207" spans="1:4" x14ac:dyDescent="0.25">
      <c r="A207" s="73"/>
      <c r="B207" s="4" t="s">
        <v>486</v>
      </c>
      <c r="C207" s="4" t="s">
        <v>29</v>
      </c>
      <c r="D207" s="1">
        <v>0.05</v>
      </c>
    </row>
    <row r="208" spans="1:4" x14ac:dyDescent="0.25">
      <c r="A208" s="73"/>
      <c r="B208" s="1" t="s">
        <v>487</v>
      </c>
      <c r="C208" s="1" t="s">
        <v>29</v>
      </c>
      <c r="D208" s="1">
        <v>0.05</v>
      </c>
    </row>
    <row r="209" spans="1:4" x14ac:dyDescent="0.25">
      <c r="A209" s="73"/>
      <c r="B209" s="4" t="s">
        <v>210</v>
      </c>
      <c r="C209" s="4" t="s">
        <v>29</v>
      </c>
      <c r="D209" s="1">
        <v>0.03</v>
      </c>
    </row>
    <row r="210" spans="1:4" x14ac:dyDescent="0.25">
      <c r="A210" s="73"/>
      <c r="B210" s="4" t="s">
        <v>503</v>
      </c>
      <c r="C210" s="4" t="s">
        <v>168</v>
      </c>
      <c r="D210" s="1">
        <v>1.92</v>
      </c>
    </row>
    <row r="211" spans="1:4" x14ac:dyDescent="0.25">
      <c r="A211" s="73"/>
      <c r="B211" s="1"/>
      <c r="C211" s="1"/>
      <c r="D211" s="1"/>
    </row>
    <row r="212" spans="1:4" x14ac:dyDescent="0.25">
      <c r="A212" s="50"/>
      <c r="B212" s="50"/>
      <c r="C212" s="50"/>
      <c r="D212" s="7">
        <f>SUM(D202:D211)</f>
        <v>9.4849999999999994</v>
      </c>
    </row>
    <row r="214" spans="1:4" x14ac:dyDescent="0.25">
      <c r="A214" s="72" t="s">
        <v>506</v>
      </c>
      <c r="B214" s="1" t="s">
        <v>0</v>
      </c>
      <c r="C214" s="1" t="s">
        <v>202</v>
      </c>
      <c r="D214" s="1" t="s">
        <v>9</v>
      </c>
    </row>
    <row r="215" spans="1:4" x14ac:dyDescent="0.25">
      <c r="A215" s="73"/>
      <c r="B215" s="1" t="s">
        <v>499</v>
      </c>
      <c r="C215" s="1" t="s">
        <v>14</v>
      </c>
      <c r="D215" s="1">
        <v>0.67500000000000004</v>
      </c>
    </row>
    <row r="216" spans="1:4" x14ac:dyDescent="0.25">
      <c r="A216" s="73"/>
      <c r="B216" s="1" t="s">
        <v>508</v>
      </c>
      <c r="C216" s="1" t="s">
        <v>271</v>
      </c>
      <c r="D216" s="1">
        <v>1.925</v>
      </c>
    </row>
    <row r="217" spans="1:4" x14ac:dyDescent="0.25">
      <c r="A217" s="73"/>
      <c r="B217" s="1" t="s">
        <v>346</v>
      </c>
      <c r="C217" s="1" t="s">
        <v>167</v>
      </c>
      <c r="D217" s="1">
        <v>0.31</v>
      </c>
    </row>
    <row r="218" spans="1:4" x14ac:dyDescent="0.25">
      <c r="A218" s="73"/>
      <c r="B218" s="1" t="s">
        <v>501</v>
      </c>
      <c r="C218" s="20" t="s">
        <v>167</v>
      </c>
      <c r="D218" s="1">
        <v>0.4</v>
      </c>
    </row>
    <row r="219" spans="1:4" x14ac:dyDescent="0.25">
      <c r="A219" s="73"/>
      <c r="B219" s="1" t="s">
        <v>502</v>
      </c>
      <c r="C219" s="1" t="s">
        <v>167</v>
      </c>
      <c r="D219" s="1">
        <v>0.05</v>
      </c>
    </row>
    <row r="220" spans="1:4" x14ac:dyDescent="0.25">
      <c r="A220" s="73"/>
      <c r="B220" s="4" t="s">
        <v>486</v>
      </c>
      <c r="C220" s="4" t="s">
        <v>29</v>
      </c>
      <c r="D220" s="1">
        <v>0.05</v>
      </c>
    </row>
    <row r="221" spans="1:4" x14ac:dyDescent="0.25">
      <c r="A221" s="73"/>
      <c r="B221" s="1" t="s">
        <v>487</v>
      </c>
      <c r="C221" s="1" t="s">
        <v>29</v>
      </c>
      <c r="D221" s="1">
        <v>0.05</v>
      </c>
    </row>
    <row r="222" spans="1:4" x14ac:dyDescent="0.25">
      <c r="A222" s="73"/>
      <c r="B222" s="4" t="s">
        <v>210</v>
      </c>
      <c r="C222" s="4" t="s">
        <v>29</v>
      </c>
      <c r="D222" s="1">
        <v>0.03</v>
      </c>
    </row>
    <row r="223" spans="1:4" x14ac:dyDescent="0.25">
      <c r="A223" s="73"/>
      <c r="B223" s="4" t="s">
        <v>503</v>
      </c>
      <c r="C223" s="4" t="s">
        <v>168</v>
      </c>
      <c r="D223" s="1">
        <v>1.92</v>
      </c>
    </row>
    <row r="224" spans="1:4" x14ac:dyDescent="0.25">
      <c r="A224" s="73"/>
      <c r="B224" s="1"/>
      <c r="C224" s="1"/>
      <c r="D224" s="1"/>
    </row>
    <row r="225" spans="1:4" x14ac:dyDescent="0.25">
      <c r="A225" s="50"/>
      <c r="B225" s="50"/>
      <c r="C225" s="50"/>
      <c r="D225" s="7">
        <f>SUM(D215:D224)</f>
        <v>5.4099999999999993</v>
      </c>
    </row>
    <row r="227" spans="1:4" x14ac:dyDescent="0.25">
      <c r="A227" s="72" t="s">
        <v>509</v>
      </c>
      <c r="B227" s="1" t="s">
        <v>0</v>
      </c>
      <c r="C227" s="1" t="s">
        <v>202</v>
      </c>
      <c r="D227" s="1" t="s">
        <v>9</v>
      </c>
    </row>
    <row r="228" spans="1:4" x14ac:dyDescent="0.25">
      <c r="A228" s="73"/>
      <c r="B228" s="1" t="s">
        <v>499</v>
      </c>
      <c r="C228" s="1" t="s">
        <v>14</v>
      </c>
      <c r="D228" s="1">
        <v>0.67500000000000004</v>
      </c>
    </row>
    <row r="229" spans="1:4" x14ac:dyDescent="0.25">
      <c r="A229" s="73"/>
      <c r="B229" s="1" t="s">
        <v>508</v>
      </c>
      <c r="C229" s="1" t="s">
        <v>271</v>
      </c>
      <c r="D229" s="1">
        <v>1.925</v>
      </c>
    </row>
    <row r="230" spans="1:4" x14ac:dyDescent="0.25">
      <c r="A230" s="73"/>
      <c r="B230" s="1" t="s">
        <v>346</v>
      </c>
      <c r="C230" s="1" t="s">
        <v>167</v>
      </c>
      <c r="D230" s="1">
        <v>0.31</v>
      </c>
    </row>
    <row r="231" spans="1:4" x14ac:dyDescent="0.25">
      <c r="A231" s="73"/>
      <c r="B231" s="1" t="s">
        <v>501</v>
      </c>
      <c r="C231" s="20" t="s">
        <v>167</v>
      </c>
      <c r="D231" s="1">
        <v>0.4</v>
      </c>
    </row>
    <row r="232" spans="1:4" x14ac:dyDescent="0.25">
      <c r="A232" s="73"/>
      <c r="B232" s="1" t="s">
        <v>502</v>
      </c>
      <c r="C232" s="1" t="s">
        <v>167</v>
      </c>
      <c r="D232" s="1">
        <v>0.05</v>
      </c>
    </row>
    <row r="233" spans="1:4" x14ac:dyDescent="0.25">
      <c r="A233" s="73"/>
      <c r="B233" s="4" t="s">
        <v>486</v>
      </c>
      <c r="C233" s="4" t="s">
        <v>29</v>
      </c>
      <c r="D233" s="1">
        <v>0.05</v>
      </c>
    </row>
    <row r="234" spans="1:4" x14ac:dyDescent="0.25">
      <c r="A234" s="73"/>
      <c r="B234" s="1" t="s">
        <v>487</v>
      </c>
      <c r="C234" s="1" t="s">
        <v>29</v>
      </c>
      <c r="D234" s="1">
        <v>0.05</v>
      </c>
    </row>
    <row r="235" spans="1:4" x14ac:dyDescent="0.25">
      <c r="A235" s="73"/>
      <c r="B235" s="4" t="s">
        <v>210</v>
      </c>
      <c r="C235" s="4" t="s">
        <v>29</v>
      </c>
      <c r="D235" s="1">
        <v>0.03</v>
      </c>
    </row>
    <row r="236" spans="1:4" x14ac:dyDescent="0.25">
      <c r="A236" s="73"/>
      <c r="B236" s="4" t="s">
        <v>503</v>
      </c>
      <c r="C236" s="4" t="s">
        <v>168</v>
      </c>
      <c r="D236" s="1">
        <v>1.92</v>
      </c>
    </row>
    <row r="237" spans="1:4" x14ac:dyDescent="0.25">
      <c r="A237" s="73"/>
      <c r="B237" s="1"/>
      <c r="C237" s="1"/>
      <c r="D237" s="1"/>
    </row>
    <row r="238" spans="1:4" x14ac:dyDescent="0.25">
      <c r="A238" s="50"/>
      <c r="B238" s="50"/>
      <c r="C238" s="50"/>
      <c r="D238" s="7">
        <f>SUM(D228:D237)</f>
        <v>5.4099999999999993</v>
      </c>
    </row>
    <row r="240" spans="1:4" x14ac:dyDescent="0.25">
      <c r="A240" s="72" t="s">
        <v>518</v>
      </c>
      <c r="B240" s="1" t="s">
        <v>0</v>
      </c>
      <c r="C240" s="1" t="s">
        <v>202</v>
      </c>
      <c r="D240" s="1" t="s">
        <v>9</v>
      </c>
    </row>
    <row r="241" spans="1:4" x14ac:dyDescent="0.25">
      <c r="A241" s="73"/>
      <c r="B241" s="1" t="s">
        <v>519</v>
      </c>
      <c r="C241" s="1" t="s">
        <v>515</v>
      </c>
      <c r="D241" s="1">
        <v>4.5</v>
      </c>
    </row>
    <row r="242" spans="1:4" x14ac:dyDescent="0.25">
      <c r="A242" s="73"/>
      <c r="B242" s="1" t="s">
        <v>520</v>
      </c>
      <c r="C242" s="1" t="s">
        <v>521</v>
      </c>
      <c r="D242" s="1">
        <v>0.25</v>
      </c>
    </row>
    <row r="243" spans="1:4" x14ac:dyDescent="0.25">
      <c r="A243" s="73"/>
      <c r="B243" s="1" t="s">
        <v>278</v>
      </c>
      <c r="C243" s="1" t="s">
        <v>11</v>
      </c>
      <c r="D243" s="1">
        <v>2.1999999999999999E-2</v>
      </c>
    </row>
    <row r="244" spans="1:4" x14ac:dyDescent="0.25">
      <c r="A244" s="73"/>
      <c r="B244" s="1" t="s">
        <v>211</v>
      </c>
      <c r="C244" s="1" t="s">
        <v>11</v>
      </c>
      <c r="D244" s="1">
        <v>0.3</v>
      </c>
    </row>
    <row r="245" spans="1:4" x14ac:dyDescent="0.25">
      <c r="A245" s="73"/>
      <c r="B245" s="1"/>
      <c r="C245" s="1"/>
      <c r="D245" s="1"/>
    </row>
    <row r="246" spans="1:4" x14ac:dyDescent="0.25">
      <c r="A246" s="50"/>
      <c r="B246" s="50"/>
      <c r="C246" s="50"/>
      <c r="D246" s="7">
        <f>SUM(D241:D245)</f>
        <v>5.0720000000000001</v>
      </c>
    </row>
    <row r="251" spans="1:4" x14ac:dyDescent="0.25">
      <c r="A251" s="72" t="s">
        <v>522</v>
      </c>
      <c r="B251" s="1" t="s">
        <v>0</v>
      </c>
      <c r="C251" s="1" t="s">
        <v>202</v>
      </c>
      <c r="D251" s="1" t="s">
        <v>9</v>
      </c>
    </row>
    <row r="252" spans="1:4" x14ac:dyDescent="0.25">
      <c r="A252" s="73"/>
      <c r="B252" s="1"/>
      <c r="C252" s="1"/>
      <c r="D252" s="1"/>
    </row>
    <row r="253" spans="1:4" x14ac:dyDescent="0.25">
      <c r="A253" s="73"/>
      <c r="B253" s="1" t="s">
        <v>523</v>
      </c>
      <c r="C253" s="1" t="s">
        <v>515</v>
      </c>
      <c r="D253" s="1">
        <v>2.5</v>
      </c>
    </row>
    <row r="254" spans="1:4" x14ac:dyDescent="0.25">
      <c r="A254" s="73"/>
      <c r="B254" s="1" t="s">
        <v>337</v>
      </c>
      <c r="C254" s="1" t="s">
        <v>13</v>
      </c>
      <c r="D254" s="1">
        <v>0.3</v>
      </c>
    </row>
    <row r="255" spans="1:4" x14ac:dyDescent="0.25">
      <c r="A255" s="73"/>
      <c r="B255" s="1"/>
      <c r="C255" s="1"/>
      <c r="D255" s="1"/>
    </row>
    <row r="256" spans="1:4" x14ac:dyDescent="0.25">
      <c r="A256" s="73"/>
      <c r="B256" s="1"/>
      <c r="C256" s="1"/>
      <c r="D256" s="1"/>
    </row>
    <row r="257" spans="1:4" x14ac:dyDescent="0.25">
      <c r="A257" s="93"/>
      <c r="B257" s="1"/>
      <c r="C257" s="1"/>
      <c r="D257" s="1"/>
    </row>
    <row r="258" spans="1:4" x14ac:dyDescent="0.25">
      <c r="A258" s="47"/>
      <c r="B258" s="48"/>
      <c r="C258" s="49"/>
      <c r="D258" s="7">
        <f>SUM(D253:D257)</f>
        <v>2.8</v>
      </c>
    </row>
    <row r="260" spans="1:4" x14ac:dyDescent="0.25">
      <c r="A260" s="72" t="s">
        <v>346</v>
      </c>
      <c r="B260" s="1" t="s">
        <v>0</v>
      </c>
      <c r="C260" s="1" t="s">
        <v>202</v>
      </c>
      <c r="D260" s="1" t="s">
        <v>9</v>
      </c>
    </row>
    <row r="261" spans="1:4" x14ac:dyDescent="0.25">
      <c r="A261" s="73"/>
      <c r="B261" s="1" t="s">
        <v>524</v>
      </c>
      <c r="C261" s="1" t="s">
        <v>166</v>
      </c>
      <c r="D261" s="1">
        <v>6.7000000000000004E-2</v>
      </c>
    </row>
    <row r="262" spans="1:4" x14ac:dyDescent="0.25">
      <c r="A262" s="73"/>
      <c r="B262" s="1" t="s">
        <v>210</v>
      </c>
      <c r="C262" s="1" t="s">
        <v>244</v>
      </c>
      <c r="D262" s="1">
        <v>0.9</v>
      </c>
    </row>
    <row r="263" spans="1:4" x14ac:dyDescent="0.25">
      <c r="A263" s="73"/>
      <c r="B263" s="1" t="s">
        <v>525</v>
      </c>
      <c r="C263" s="1" t="s">
        <v>168</v>
      </c>
      <c r="D263" s="1">
        <v>0.4</v>
      </c>
    </row>
    <row r="264" spans="1:4" x14ac:dyDescent="0.25">
      <c r="A264" s="73"/>
      <c r="B264" s="1" t="s">
        <v>526</v>
      </c>
      <c r="C264" s="20" t="s">
        <v>12</v>
      </c>
      <c r="D264" s="1">
        <v>0.36</v>
      </c>
    </row>
    <row r="265" spans="1:4" x14ac:dyDescent="0.25">
      <c r="A265" s="73"/>
      <c r="B265" s="1" t="s">
        <v>278</v>
      </c>
      <c r="C265" s="1" t="s">
        <v>528</v>
      </c>
      <c r="D265" s="1">
        <v>1.4999999999999999E-2</v>
      </c>
    </row>
    <row r="266" spans="1:4" x14ac:dyDescent="0.25">
      <c r="A266" s="73"/>
      <c r="B266" s="4" t="s">
        <v>527</v>
      </c>
      <c r="C266" s="4" t="s">
        <v>223</v>
      </c>
      <c r="D266" s="1">
        <v>3</v>
      </c>
    </row>
    <row r="267" spans="1:4" x14ac:dyDescent="0.25">
      <c r="A267" s="73"/>
      <c r="B267" s="1" t="s">
        <v>529</v>
      </c>
      <c r="C267" s="1" t="s">
        <v>392</v>
      </c>
      <c r="D267" s="1">
        <v>1.26</v>
      </c>
    </row>
    <row r="268" spans="1:4" x14ac:dyDescent="0.25">
      <c r="A268" s="73"/>
      <c r="B268" s="4" t="s">
        <v>530</v>
      </c>
      <c r="C268" s="4" t="s">
        <v>13</v>
      </c>
      <c r="D268" s="1">
        <v>0.21199999999999999</v>
      </c>
    </row>
    <row r="269" spans="1:4" x14ac:dyDescent="0.25">
      <c r="A269" s="73"/>
      <c r="B269" s="4"/>
      <c r="C269" s="4"/>
      <c r="D269" s="1"/>
    </row>
    <row r="270" spans="1:4" x14ac:dyDescent="0.25">
      <c r="A270" s="73"/>
      <c r="B270" s="1"/>
      <c r="C270" s="1"/>
      <c r="D270" s="1"/>
    </row>
    <row r="271" spans="1:4" x14ac:dyDescent="0.25">
      <c r="A271" s="50"/>
      <c r="B271" s="50"/>
      <c r="C271" s="50"/>
      <c r="D271" s="7">
        <f>SUM(D261:D270)</f>
        <v>6.2139999999999995</v>
      </c>
    </row>
  </sheetData>
  <mergeCells count="39">
    <mergeCell ref="A271:C271"/>
    <mergeCell ref="A240:A245"/>
    <mergeCell ref="A246:C246"/>
    <mergeCell ref="A251:A257"/>
    <mergeCell ref="A258:C258"/>
    <mergeCell ref="A260:A270"/>
    <mergeCell ref="A86:C86"/>
    <mergeCell ref="A2:A12"/>
    <mergeCell ref="A13:C13"/>
    <mergeCell ref="A16:A25"/>
    <mergeCell ref="A26:C26"/>
    <mergeCell ref="A28:A37"/>
    <mergeCell ref="A38:C38"/>
    <mergeCell ref="A51:A61"/>
    <mergeCell ref="A62:C62"/>
    <mergeCell ref="A64:A73"/>
    <mergeCell ref="A74:C74"/>
    <mergeCell ref="A76:A85"/>
    <mergeCell ref="A127:A139"/>
    <mergeCell ref="A140:C140"/>
    <mergeCell ref="A151:A162"/>
    <mergeCell ref="A163:C163"/>
    <mergeCell ref="A165:A175"/>
    <mergeCell ref="A1:D1"/>
    <mergeCell ref="A227:A237"/>
    <mergeCell ref="A238:C238"/>
    <mergeCell ref="A178:A188"/>
    <mergeCell ref="A189:C189"/>
    <mergeCell ref="A201:A211"/>
    <mergeCell ref="A212:C212"/>
    <mergeCell ref="A214:A224"/>
    <mergeCell ref="A225:C225"/>
    <mergeCell ref="A176:C176"/>
    <mergeCell ref="A88:A97"/>
    <mergeCell ref="A98:C98"/>
    <mergeCell ref="A101:A112"/>
    <mergeCell ref="A113:C113"/>
    <mergeCell ref="A115:A124"/>
    <mergeCell ref="A125:C125"/>
  </mergeCells>
  <pageMargins left="0.7" right="0.7" top="0.75" bottom="0.75" header="0.3" footer="0.3"/>
  <pageSetup paperSize="9"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D386D-9C76-4DA6-85C1-A07A34870B55}">
  <dimension ref="A1:E94"/>
  <sheetViews>
    <sheetView workbookViewId="0">
      <selection activeCell="H58" sqref="H58"/>
    </sheetView>
  </sheetViews>
  <sheetFormatPr baseColWidth="10" defaultRowHeight="15" x14ac:dyDescent="0.25"/>
  <cols>
    <col min="2" max="2" width="25" customWidth="1"/>
    <col min="3" max="3" width="22.5703125" customWidth="1"/>
    <col min="5" max="5" width="11.85546875" customWidth="1"/>
    <col min="6" max="6" width="13.85546875" customWidth="1"/>
    <col min="7" max="7" width="16" customWidth="1"/>
  </cols>
  <sheetData>
    <row r="1" spans="1:4" x14ac:dyDescent="0.25">
      <c r="A1" s="56"/>
      <c r="B1" s="56"/>
      <c r="C1" s="56"/>
      <c r="D1" s="56"/>
    </row>
    <row r="2" spans="1:4" x14ac:dyDescent="0.25">
      <c r="A2" s="66" t="s">
        <v>553</v>
      </c>
      <c r="B2" s="66"/>
      <c r="C2" s="66"/>
      <c r="D2" s="66"/>
    </row>
    <row r="3" spans="1:4" ht="15" customHeight="1" x14ac:dyDescent="0.25">
      <c r="A3" s="106" t="s">
        <v>558</v>
      </c>
      <c r="B3" s="1" t="s">
        <v>0</v>
      </c>
      <c r="C3" s="1" t="s">
        <v>202</v>
      </c>
      <c r="D3" s="1" t="s">
        <v>9</v>
      </c>
    </row>
    <row r="4" spans="1:4" x14ac:dyDescent="0.25">
      <c r="A4" s="107"/>
      <c r="B4" s="1" t="s">
        <v>554</v>
      </c>
      <c r="C4" s="1" t="s">
        <v>357</v>
      </c>
      <c r="D4" s="1">
        <v>2.2000000000000002</v>
      </c>
    </row>
    <row r="5" spans="1:4" x14ac:dyDescent="0.25">
      <c r="A5" s="107"/>
      <c r="B5" s="1" t="s">
        <v>555</v>
      </c>
      <c r="C5" s="1" t="s">
        <v>11</v>
      </c>
      <c r="D5" s="1">
        <v>2.64</v>
      </c>
    </row>
    <row r="6" spans="1:4" ht="15" customHeight="1" x14ac:dyDescent="0.25">
      <c r="A6" s="107"/>
      <c r="B6" s="1" t="s">
        <v>556</v>
      </c>
      <c r="C6" s="1" t="s">
        <v>557</v>
      </c>
      <c r="D6" s="1">
        <v>1.9359999999999999</v>
      </c>
    </row>
    <row r="7" spans="1:4" x14ac:dyDescent="0.25">
      <c r="A7" s="50"/>
      <c r="B7" s="50"/>
      <c r="C7" s="50"/>
      <c r="D7" s="7"/>
    </row>
    <row r="9" spans="1:4" ht="15" customHeight="1" x14ac:dyDescent="0.25">
      <c r="A9" s="106" t="s">
        <v>559</v>
      </c>
      <c r="B9" s="1" t="s">
        <v>0</v>
      </c>
      <c r="C9" s="1" t="s">
        <v>202</v>
      </c>
      <c r="D9" s="1" t="s">
        <v>9</v>
      </c>
    </row>
    <row r="10" spans="1:4" x14ac:dyDescent="0.25">
      <c r="A10" s="107"/>
      <c r="B10" s="1" t="s">
        <v>554</v>
      </c>
      <c r="C10" s="1" t="s">
        <v>357</v>
      </c>
      <c r="D10" s="1">
        <v>1.875</v>
      </c>
    </row>
    <row r="11" spans="1:4" x14ac:dyDescent="0.25">
      <c r="A11" s="107"/>
      <c r="B11" s="1" t="s">
        <v>555</v>
      </c>
      <c r="C11" s="1" t="s">
        <v>11</v>
      </c>
      <c r="D11" s="1">
        <v>2.25</v>
      </c>
    </row>
    <row r="12" spans="1:4" x14ac:dyDescent="0.25">
      <c r="A12" s="107"/>
      <c r="B12" s="1" t="s">
        <v>556</v>
      </c>
      <c r="C12" s="1" t="s">
        <v>557</v>
      </c>
      <c r="D12" s="1">
        <v>1.65</v>
      </c>
    </row>
    <row r="13" spans="1:4" x14ac:dyDescent="0.25">
      <c r="A13" s="50"/>
      <c r="B13" s="50"/>
      <c r="C13" s="50"/>
      <c r="D13" s="7"/>
    </row>
    <row r="16" spans="1:4" ht="15" customHeight="1" x14ac:dyDescent="0.25">
      <c r="A16" s="51" t="s">
        <v>560</v>
      </c>
      <c r="B16" s="1" t="s">
        <v>0</v>
      </c>
      <c r="C16" s="1" t="s">
        <v>202</v>
      </c>
      <c r="D16" s="1" t="s">
        <v>9</v>
      </c>
    </row>
    <row r="17" spans="1:4" x14ac:dyDescent="0.25">
      <c r="A17" s="52"/>
      <c r="B17" s="1" t="s">
        <v>554</v>
      </c>
      <c r="C17" s="1" t="s">
        <v>357</v>
      </c>
      <c r="D17" s="1">
        <v>2.7</v>
      </c>
    </row>
    <row r="18" spans="1:4" x14ac:dyDescent="0.25">
      <c r="A18" s="52"/>
      <c r="B18" s="1" t="s">
        <v>555</v>
      </c>
      <c r="C18" s="1" t="s">
        <v>11</v>
      </c>
      <c r="D18" s="1">
        <v>3.24</v>
      </c>
    </row>
    <row r="19" spans="1:4" x14ac:dyDescent="0.25">
      <c r="A19" s="52"/>
      <c r="B19" s="1" t="s">
        <v>556</v>
      </c>
      <c r="C19" s="1" t="s">
        <v>557</v>
      </c>
      <c r="D19" s="1">
        <v>2.3759999999999999</v>
      </c>
    </row>
    <row r="20" spans="1:4" x14ac:dyDescent="0.25">
      <c r="A20" s="50"/>
      <c r="B20" s="50"/>
      <c r="C20" s="50"/>
      <c r="D20" s="7"/>
    </row>
    <row r="23" spans="1:4" ht="15" customHeight="1" x14ac:dyDescent="0.25">
      <c r="A23" s="106" t="s">
        <v>561</v>
      </c>
      <c r="B23" s="1" t="s">
        <v>0</v>
      </c>
      <c r="C23" s="1" t="s">
        <v>202</v>
      </c>
      <c r="D23" s="1" t="s">
        <v>9</v>
      </c>
    </row>
    <row r="24" spans="1:4" x14ac:dyDescent="0.25">
      <c r="A24" s="107"/>
      <c r="B24" s="1" t="s">
        <v>554</v>
      </c>
      <c r="C24" s="1" t="s">
        <v>357</v>
      </c>
      <c r="D24" s="1">
        <v>2.7</v>
      </c>
    </row>
    <row r="25" spans="1:4" x14ac:dyDescent="0.25">
      <c r="A25" s="107"/>
      <c r="B25" s="1" t="s">
        <v>555</v>
      </c>
      <c r="C25" s="1" t="s">
        <v>11</v>
      </c>
      <c r="D25" s="1">
        <v>3.24</v>
      </c>
    </row>
    <row r="26" spans="1:4" x14ac:dyDescent="0.25">
      <c r="A26" s="107"/>
      <c r="B26" s="1" t="s">
        <v>556</v>
      </c>
      <c r="C26" s="1" t="s">
        <v>557</v>
      </c>
      <c r="D26" s="1">
        <v>2.3759999999999999</v>
      </c>
    </row>
    <row r="27" spans="1:4" x14ac:dyDescent="0.25">
      <c r="A27" s="50"/>
      <c r="B27" s="50"/>
      <c r="C27" s="50"/>
      <c r="D27" s="7"/>
    </row>
    <row r="30" spans="1:4" ht="15" customHeight="1" x14ac:dyDescent="0.25">
      <c r="A30" s="106" t="s">
        <v>562</v>
      </c>
      <c r="B30" s="1" t="s">
        <v>0</v>
      </c>
      <c r="C30" s="1" t="s">
        <v>202</v>
      </c>
      <c r="D30" s="1" t="s">
        <v>9</v>
      </c>
    </row>
    <row r="31" spans="1:4" x14ac:dyDescent="0.25">
      <c r="A31" s="107"/>
      <c r="B31" s="1" t="s">
        <v>554</v>
      </c>
      <c r="C31" s="1" t="s">
        <v>357</v>
      </c>
      <c r="D31" s="1">
        <v>2.5</v>
      </c>
    </row>
    <row r="32" spans="1:4" x14ac:dyDescent="0.25">
      <c r="A32" s="107"/>
      <c r="B32" s="1" t="s">
        <v>555</v>
      </c>
      <c r="C32" s="1" t="s">
        <v>11</v>
      </c>
      <c r="D32" s="1">
        <v>3</v>
      </c>
    </row>
    <row r="33" spans="1:5" x14ac:dyDescent="0.25">
      <c r="A33" s="107"/>
      <c r="B33" s="1" t="s">
        <v>556</v>
      </c>
      <c r="C33" s="1" t="s">
        <v>557</v>
      </c>
      <c r="D33" s="1">
        <v>2.2000000000000002</v>
      </c>
    </row>
    <row r="34" spans="1:5" x14ac:dyDescent="0.25">
      <c r="A34" s="50"/>
      <c r="B34" s="50"/>
      <c r="C34" s="50"/>
      <c r="D34" s="7"/>
    </row>
    <row r="36" spans="1:5" x14ac:dyDescent="0.25">
      <c r="A36" s="125" t="s">
        <v>569</v>
      </c>
      <c r="B36" s="1" t="s">
        <v>599</v>
      </c>
      <c r="C36" s="1" t="s">
        <v>0</v>
      </c>
      <c r="D36" s="1" t="s">
        <v>202</v>
      </c>
      <c r="E36" s="1" t="s">
        <v>9</v>
      </c>
    </row>
    <row r="37" spans="1:5" ht="15" customHeight="1" x14ac:dyDescent="0.25">
      <c r="A37" s="125"/>
      <c r="B37" s="126" t="s">
        <v>597</v>
      </c>
      <c r="C37" s="1" t="s">
        <v>554</v>
      </c>
      <c r="D37" s="1" t="s">
        <v>357</v>
      </c>
      <c r="E37" s="1">
        <v>1.1000000000000001</v>
      </c>
    </row>
    <row r="38" spans="1:5" x14ac:dyDescent="0.25">
      <c r="A38" s="125"/>
      <c r="B38" s="126"/>
      <c r="C38" s="1" t="s">
        <v>555</v>
      </c>
      <c r="D38" s="1" t="s">
        <v>11</v>
      </c>
      <c r="E38" s="1">
        <v>1.32</v>
      </c>
    </row>
    <row r="39" spans="1:5" x14ac:dyDescent="0.25">
      <c r="A39" s="125"/>
      <c r="B39" s="126"/>
      <c r="C39" s="1" t="s">
        <v>556</v>
      </c>
      <c r="D39" s="1" t="s">
        <v>557</v>
      </c>
      <c r="E39" s="1">
        <v>0.96799999999999997</v>
      </c>
    </row>
    <row r="40" spans="1:5" x14ac:dyDescent="0.25">
      <c r="A40" s="125"/>
      <c r="B40" s="127" t="s">
        <v>598</v>
      </c>
      <c r="C40" s="1" t="s">
        <v>554</v>
      </c>
      <c r="D40" s="1" t="s">
        <v>357</v>
      </c>
      <c r="E40" s="1">
        <v>0.93700000000000006</v>
      </c>
    </row>
    <row r="41" spans="1:5" x14ac:dyDescent="0.25">
      <c r="A41" s="125"/>
      <c r="B41" s="127"/>
      <c r="C41" s="1" t="s">
        <v>555</v>
      </c>
      <c r="D41" s="1" t="s">
        <v>11</v>
      </c>
      <c r="E41" s="1">
        <v>1.125</v>
      </c>
    </row>
    <row r="42" spans="1:5" x14ac:dyDescent="0.25">
      <c r="A42" s="125"/>
      <c r="B42" s="127"/>
      <c r="C42" s="1" t="s">
        <v>556</v>
      </c>
      <c r="D42" s="1" t="s">
        <v>557</v>
      </c>
      <c r="E42" s="1">
        <v>0.82499999999999996</v>
      </c>
    </row>
    <row r="43" spans="1:5" x14ac:dyDescent="0.25">
      <c r="A43" s="47"/>
      <c r="B43" s="48"/>
      <c r="C43" s="48"/>
      <c r="D43" s="49"/>
      <c r="E43" s="7"/>
    </row>
    <row r="51" spans="1:4" x14ac:dyDescent="0.25">
      <c r="A51" s="51" t="s">
        <v>570</v>
      </c>
      <c r="B51" s="1" t="s">
        <v>0</v>
      </c>
      <c r="C51" s="1" t="s">
        <v>202</v>
      </c>
      <c r="D51" s="1" t="s">
        <v>9</v>
      </c>
    </row>
    <row r="52" spans="1:4" x14ac:dyDescent="0.25">
      <c r="A52" s="52"/>
      <c r="B52" s="1" t="s">
        <v>571</v>
      </c>
      <c r="C52" s="1" t="s">
        <v>515</v>
      </c>
      <c r="D52" s="1">
        <v>12</v>
      </c>
    </row>
    <row r="53" spans="1:4" x14ac:dyDescent="0.25">
      <c r="A53" s="52"/>
      <c r="B53" s="1" t="s">
        <v>572</v>
      </c>
      <c r="C53" s="1" t="s">
        <v>521</v>
      </c>
      <c r="D53" s="1">
        <v>3</v>
      </c>
    </row>
    <row r="54" spans="1:4" x14ac:dyDescent="0.25">
      <c r="A54" s="52"/>
      <c r="B54" s="1" t="s">
        <v>573</v>
      </c>
      <c r="C54" s="1" t="s">
        <v>17</v>
      </c>
      <c r="D54" s="1">
        <v>1.2</v>
      </c>
    </row>
    <row r="55" spans="1:4" ht="15" customHeight="1" x14ac:dyDescent="0.25">
      <c r="A55" s="50"/>
      <c r="B55" s="50"/>
      <c r="C55" s="50"/>
      <c r="D55" s="7"/>
    </row>
    <row r="57" spans="1:4" x14ac:dyDescent="0.25">
      <c r="A57" s="114" t="s">
        <v>568</v>
      </c>
      <c r="B57" s="1" t="s">
        <v>0</v>
      </c>
      <c r="C57" s="1" t="s">
        <v>202</v>
      </c>
      <c r="D57" s="1" t="s">
        <v>9</v>
      </c>
    </row>
    <row r="58" spans="1:4" x14ac:dyDescent="0.25">
      <c r="A58" s="115"/>
      <c r="B58" s="1" t="s">
        <v>554</v>
      </c>
      <c r="C58" s="1" t="s">
        <v>357</v>
      </c>
      <c r="D58" s="1">
        <v>2.7</v>
      </c>
    </row>
    <row r="59" spans="1:4" x14ac:dyDescent="0.25">
      <c r="A59" s="115"/>
      <c r="B59" s="1" t="s">
        <v>555</v>
      </c>
      <c r="C59" s="1" t="s">
        <v>11</v>
      </c>
      <c r="D59" s="1">
        <v>3.24</v>
      </c>
    </row>
    <row r="60" spans="1:4" x14ac:dyDescent="0.25">
      <c r="A60" s="115"/>
      <c r="B60" s="1" t="s">
        <v>556</v>
      </c>
      <c r="C60" s="1" t="s">
        <v>557</v>
      </c>
      <c r="D60" s="1">
        <v>2.3759999999999999</v>
      </c>
    </row>
    <row r="61" spans="1:4" x14ac:dyDescent="0.25">
      <c r="A61" s="50"/>
      <c r="B61" s="50"/>
      <c r="C61" s="50"/>
      <c r="D61" s="7"/>
    </row>
    <row r="63" spans="1:4" x14ac:dyDescent="0.25">
      <c r="A63" s="106" t="s">
        <v>563</v>
      </c>
      <c r="B63" s="1" t="s">
        <v>0</v>
      </c>
      <c r="C63" s="1" t="s">
        <v>202</v>
      </c>
      <c r="D63" s="1" t="s">
        <v>9</v>
      </c>
    </row>
    <row r="64" spans="1:4" x14ac:dyDescent="0.25">
      <c r="A64" s="107"/>
      <c r="B64" s="1" t="s">
        <v>554</v>
      </c>
      <c r="C64" s="1" t="s">
        <v>357</v>
      </c>
      <c r="D64" s="1">
        <v>2.7</v>
      </c>
    </row>
    <row r="65" spans="1:4" x14ac:dyDescent="0.25">
      <c r="A65" s="107"/>
      <c r="B65" s="1" t="s">
        <v>555</v>
      </c>
      <c r="C65" s="1" t="s">
        <v>11</v>
      </c>
      <c r="D65" s="1">
        <v>3.24</v>
      </c>
    </row>
    <row r="66" spans="1:4" x14ac:dyDescent="0.25">
      <c r="A66" s="107"/>
      <c r="B66" s="1" t="s">
        <v>556</v>
      </c>
      <c r="C66" s="1" t="s">
        <v>557</v>
      </c>
      <c r="D66" s="1">
        <v>2.3759999999999999</v>
      </c>
    </row>
    <row r="67" spans="1:4" x14ac:dyDescent="0.25">
      <c r="A67" s="50"/>
      <c r="B67" s="50"/>
      <c r="C67" s="50"/>
      <c r="D67" s="7"/>
    </row>
    <row r="69" spans="1:4" x14ac:dyDescent="0.25">
      <c r="A69" s="106" t="s">
        <v>564</v>
      </c>
      <c r="B69" s="1" t="s">
        <v>0</v>
      </c>
      <c r="C69" s="1" t="s">
        <v>202</v>
      </c>
      <c r="D69" s="1" t="s">
        <v>9</v>
      </c>
    </row>
    <row r="70" spans="1:4" x14ac:dyDescent="0.25">
      <c r="A70" s="107"/>
      <c r="B70" s="1" t="s">
        <v>554</v>
      </c>
      <c r="C70" s="1" t="s">
        <v>357</v>
      </c>
      <c r="D70" s="1">
        <v>2.4</v>
      </c>
    </row>
    <row r="71" spans="1:4" x14ac:dyDescent="0.25">
      <c r="A71" s="107"/>
      <c r="B71" s="1" t="s">
        <v>555</v>
      </c>
      <c r="C71" s="1" t="s">
        <v>11</v>
      </c>
      <c r="D71" s="1">
        <v>2.88</v>
      </c>
    </row>
    <row r="72" spans="1:4" x14ac:dyDescent="0.25">
      <c r="A72" s="107"/>
      <c r="B72" s="1" t="s">
        <v>556</v>
      </c>
      <c r="C72" s="1" t="s">
        <v>557</v>
      </c>
      <c r="D72" s="1">
        <v>2.1120000000000001</v>
      </c>
    </row>
    <row r="73" spans="1:4" x14ac:dyDescent="0.25">
      <c r="A73" s="50"/>
      <c r="B73" s="50"/>
      <c r="C73" s="50"/>
      <c r="D73" s="7"/>
    </row>
    <row r="76" spans="1:4" x14ac:dyDescent="0.25">
      <c r="A76" s="114" t="s">
        <v>565</v>
      </c>
      <c r="B76" s="1" t="s">
        <v>0</v>
      </c>
      <c r="C76" s="1" t="s">
        <v>202</v>
      </c>
      <c r="D76" s="1" t="s">
        <v>9</v>
      </c>
    </row>
    <row r="77" spans="1:4" x14ac:dyDescent="0.25">
      <c r="A77" s="115"/>
      <c r="B77" s="1" t="s">
        <v>554</v>
      </c>
      <c r="C77" s="1" t="s">
        <v>357</v>
      </c>
      <c r="D77" s="1">
        <v>2.7</v>
      </c>
    </row>
    <row r="78" spans="1:4" x14ac:dyDescent="0.25">
      <c r="A78" s="115"/>
      <c r="B78" s="1" t="s">
        <v>555</v>
      </c>
      <c r="C78" s="1" t="s">
        <v>11</v>
      </c>
      <c r="D78" s="1">
        <v>3.24</v>
      </c>
    </row>
    <row r="79" spans="1:4" x14ac:dyDescent="0.25">
      <c r="A79" s="115"/>
      <c r="B79" s="1" t="s">
        <v>556</v>
      </c>
      <c r="C79" s="1" t="s">
        <v>557</v>
      </c>
      <c r="D79" s="1">
        <v>2.3759999999999999</v>
      </c>
    </row>
    <row r="80" spans="1:4" x14ac:dyDescent="0.25">
      <c r="A80" s="50"/>
      <c r="B80" s="50"/>
      <c r="C80" s="50"/>
      <c r="D80" s="7"/>
    </row>
    <row r="83" spans="1:4" x14ac:dyDescent="0.25">
      <c r="A83" s="106" t="s">
        <v>566</v>
      </c>
      <c r="B83" s="1" t="s">
        <v>0</v>
      </c>
      <c r="C83" s="1" t="s">
        <v>202</v>
      </c>
      <c r="D83" s="1" t="s">
        <v>9</v>
      </c>
    </row>
    <row r="84" spans="1:4" x14ac:dyDescent="0.25">
      <c r="A84" s="107"/>
      <c r="B84" s="1" t="s">
        <v>554</v>
      </c>
      <c r="C84" s="1" t="s">
        <v>357</v>
      </c>
      <c r="D84" s="1">
        <v>2.75</v>
      </c>
    </row>
    <row r="85" spans="1:4" x14ac:dyDescent="0.25">
      <c r="A85" s="107"/>
      <c r="B85" s="1" t="s">
        <v>555</v>
      </c>
      <c r="C85" s="1" t="s">
        <v>11</v>
      </c>
      <c r="D85" s="1">
        <v>3.3</v>
      </c>
    </row>
    <row r="86" spans="1:4" x14ac:dyDescent="0.25">
      <c r="A86" s="107"/>
      <c r="B86" s="1" t="s">
        <v>556</v>
      </c>
      <c r="C86" s="1" t="s">
        <v>557</v>
      </c>
      <c r="D86" s="1">
        <v>2.42</v>
      </c>
    </row>
    <row r="87" spans="1:4" x14ac:dyDescent="0.25">
      <c r="A87" s="50"/>
      <c r="B87" s="50"/>
      <c r="C87" s="50"/>
      <c r="D87" s="7"/>
    </row>
    <row r="90" spans="1:4" x14ac:dyDescent="0.25">
      <c r="A90" s="106" t="s">
        <v>567</v>
      </c>
      <c r="B90" s="1" t="s">
        <v>0</v>
      </c>
      <c r="C90" s="1" t="s">
        <v>202</v>
      </c>
      <c r="D90" s="1" t="s">
        <v>9</v>
      </c>
    </row>
    <row r="91" spans="1:4" x14ac:dyDescent="0.25">
      <c r="A91" s="107"/>
      <c r="B91" s="1" t="s">
        <v>554</v>
      </c>
      <c r="C91" s="1" t="s">
        <v>357</v>
      </c>
      <c r="D91" s="1">
        <v>2.2000000000000002</v>
      </c>
    </row>
    <row r="92" spans="1:4" x14ac:dyDescent="0.25">
      <c r="A92" s="107"/>
      <c r="B92" s="1" t="s">
        <v>555</v>
      </c>
      <c r="C92" s="1" t="s">
        <v>11</v>
      </c>
      <c r="D92" s="1">
        <v>2.64</v>
      </c>
    </row>
    <row r="93" spans="1:4" x14ac:dyDescent="0.25">
      <c r="A93" s="107"/>
      <c r="B93" s="1" t="s">
        <v>556</v>
      </c>
      <c r="C93" s="1" t="s">
        <v>557</v>
      </c>
      <c r="D93" s="1">
        <v>1.9359999999999999</v>
      </c>
    </row>
    <row r="94" spans="1:4" x14ac:dyDescent="0.25">
      <c r="A94" s="50"/>
      <c r="B94" s="50"/>
      <c r="C94" s="50"/>
      <c r="D94" s="7"/>
    </row>
  </sheetData>
  <mergeCells count="30">
    <mergeCell ref="A36:A42"/>
    <mergeCell ref="B37:B39"/>
    <mergeCell ref="B40:B42"/>
    <mergeCell ref="A7:C7"/>
    <mergeCell ref="A55:C55"/>
    <mergeCell ref="A51:A54"/>
    <mergeCell ref="A43:D43"/>
    <mergeCell ref="A63:A66"/>
    <mergeCell ref="A67:C67"/>
    <mergeCell ref="A69:A72"/>
    <mergeCell ref="A57:A60"/>
    <mergeCell ref="A94:C94"/>
    <mergeCell ref="A61:C61"/>
    <mergeCell ref="A83:A86"/>
    <mergeCell ref="A87:C87"/>
    <mergeCell ref="A90:A93"/>
    <mergeCell ref="A73:C73"/>
    <mergeCell ref="A76:A79"/>
    <mergeCell ref="A80:C80"/>
    <mergeCell ref="A1:D1"/>
    <mergeCell ref="A34:C34"/>
    <mergeCell ref="A2:D2"/>
    <mergeCell ref="A9:A12"/>
    <mergeCell ref="A13:C13"/>
    <mergeCell ref="A16:A19"/>
    <mergeCell ref="A20:C20"/>
    <mergeCell ref="A23:A26"/>
    <mergeCell ref="A27:C27"/>
    <mergeCell ref="A30:A33"/>
    <mergeCell ref="A3:A6"/>
  </mergeCells>
  <pageMargins left="0.7" right="0.7" top="0.75" bottom="0.75" header="0.3" footer="0.3"/>
  <pageSetup paperSize="9" orientation="portrait"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0098A-BCC2-4F01-88CD-6E77AEA34755}">
  <dimension ref="A2:K495"/>
  <sheetViews>
    <sheetView topLeftCell="A64" zoomScaleNormal="100" workbookViewId="0">
      <selection activeCell="F74" sqref="F74"/>
    </sheetView>
  </sheetViews>
  <sheetFormatPr baseColWidth="10" defaultRowHeight="15" x14ac:dyDescent="0.25"/>
  <cols>
    <col min="1" max="1" width="25.85546875" customWidth="1"/>
    <col min="2" max="2" width="25.140625" customWidth="1"/>
    <col min="3" max="3" width="11.140625" customWidth="1"/>
    <col min="4" max="4" width="13.5703125" customWidth="1"/>
    <col min="6" max="6" width="19" customWidth="1"/>
    <col min="7" max="7" width="26.7109375" customWidth="1"/>
    <col min="8" max="8" width="18" customWidth="1"/>
    <col min="9" max="9" width="22" customWidth="1"/>
  </cols>
  <sheetData>
    <row r="2" spans="1:5" x14ac:dyDescent="0.25">
      <c r="A2" s="66" t="s">
        <v>625</v>
      </c>
      <c r="B2" s="66"/>
      <c r="C2" s="66"/>
      <c r="D2" s="66"/>
      <c r="E2" s="133" t="s">
        <v>216</v>
      </c>
    </row>
    <row r="3" spans="1:5" x14ac:dyDescent="0.25">
      <c r="A3" s="1" t="s">
        <v>599</v>
      </c>
      <c r="B3" s="1" t="s">
        <v>637</v>
      </c>
      <c r="C3" s="1" t="s">
        <v>638</v>
      </c>
      <c r="D3" s="1" t="s">
        <v>9</v>
      </c>
      <c r="E3" s="133"/>
    </row>
    <row r="4" spans="1:5" x14ac:dyDescent="0.25">
      <c r="A4" s="3" t="s">
        <v>635</v>
      </c>
      <c r="B4" s="1" t="s">
        <v>636</v>
      </c>
      <c r="C4" s="1" t="s">
        <v>626</v>
      </c>
      <c r="D4" s="1">
        <v>0.504</v>
      </c>
      <c r="E4" s="29">
        <v>0.504</v>
      </c>
    </row>
    <row r="5" spans="1:5" x14ac:dyDescent="0.25">
      <c r="A5" s="137" t="s">
        <v>627</v>
      </c>
      <c r="B5" s="1" t="s">
        <v>548</v>
      </c>
      <c r="C5" s="1" t="s">
        <v>626</v>
      </c>
      <c r="D5" s="1">
        <v>0.504</v>
      </c>
      <c r="E5" s="126">
        <f>SUM(D5:D6)</f>
        <v>0.60399999999999998</v>
      </c>
    </row>
    <row r="6" spans="1:5" x14ac:dyDescent="0.25">
      <c r="A6" s="135"/>
      <c r="B6" s="1" t="s">
        <v>232</v>
      </c>
      <c r="C6" s="1" t="s">
        <v>13</v>
      </c>
      <c r="D6" s="1">
        <v>0.1</v>
      </c>
      <c r="E6" s="126"/>
    </row>
    <row r="7" spans="1:5" x14ac:dyDescent="0.25">
      <c r="A7" s="136" t="s">
        <v>629</v>
      </c>
      <c r="B7" s="1" t="s">
        <v>548</v>
      </c>
      <c r="C7" s="1" t="s">
        <v>626</v>
      </c>
      <c r="D7" s="1">
        <v>0.504</v>
      </c>
      <c r="E7" s="126">
        <f>SUM(D7:D9)</f>
        <v>1.6840000000000002</v>
      </c>
    </row>
    <row r="8" spans="1:5" x14ac:dyDescent="0.25">
      <c r="A8" s="136"/>
      <c r="B8" s="1" t="s">
        <v>232</v>
      </c>
      <c r="C8" s="1" t="s">
        <v>13</v>
      </c>
      <c r="D8" s="1">
        <v>0.1</v>
      </c>
      <c r="E8" s="126"/>
    </row>
    <row r="9" spans="1:5" x14ac:dyDescent="0.25">
      <c r="A9" s="136"/>
      <c r="B9" s="1" t="s">
        <v>628</v>
      </c>
      <c r="C9" s="1" t="s">
        <v>171</v>
      </c>
      <c r="D9" s="1">
        <v>1.08</v>
      </c>
      <c r="E9" s="126"/>
    </row>
    <row r="10" spans="1:5" x14ac:dyDescent="0.25">
      <c r="A10" s="134" t="s">
        <v>630</v>
      </c>
      <c r="B10" s="1" t="s">
        <v>548</v>
      </c>
      <c r="C10" s="1" t="s">
        <v>626</v>
      </c>
      <c r="D10" s="1">
        <v>0.504</v>
      </c>
      <c r="E10" s="126">
        <f>SUM(D10:D11)</f>
        <v>0.71399999999999997</v>
      </c>
    </row>
    <row r="11" spans="1:5" x14ac:dyDescent="0.25">
      <c r="A11" s="135"/>
      <c r="B11" s="1" t="s">
        <v>232</v>
      </c>
      <c r="C11" s="1" t="s">
        <v>14</v>
      </c>
      <c r="D11" s="1">
        <v>0.21</v>
      </c>
      <c r="E11" s="126"/>
    </row>
    <row r="12" spans="1:5" x14ac:dyDescent="0.25">
      <c r="A12" s="136" t="s">
        <v>631</v>
      </c>
      <c r="B12" s="1" t="s">
        <v>548</v>
      </c>
      <c r="C12" s="1" t="s">
        <v>626</v>
      </c>
      <c r="D12" s="1">
        <v>0.504</v>
      </c>
      <c r="E12" s="126">
        <f>SUM(D12:D14)</f>
        <v>1.794</v>
      </c>
    </row>
    <row r="13" spans="1:5" x14ac:dyDescent="0.25">
      <c r="A13" s="136"/>
      <c r="B13" s="1" t="s">
        <v>232</v>
      </c>
      <c r="C13" s="1" t="s">
        <v>14</v>
      </c>
      <c r="D13" s="1">
        <v>0.21</v>
      </c>
      <c r="E13" s="126"/>
    </row>
    <row r="14" spans="1:5" x14ac:dyDescent="0.25">
      <c r="A14" s="136"/>
      <c r="B14" s="1" t="s">
        <v>628</v>
      </c>
      <c r="C14" s="1" t="s">
        <v>171</v>
      </c>
      <c r="D14" s="1">
        <v>1.08</v>
      </c>
      <c r="E14" s="126"/>
    </row>
    <row r="15" spans="1:5" x14ac:dyDescent="0.25">
      <c r="A15" s="136" t="s">
        <v>632</v>
      </c>
      <c r="B15" s="1" t="s">
        <v>633</v>
      </c>
      <c r="C15" s="1" t="s">
        <v>357</v>
      </c>
      <c r="D15" s="1">
        <v>0.2</v>
      </c>
      <c r="E15" s="126">
        <f>SUM(D15:D16)</f>
        <v>0.41000000000000003</v>
      </c>
    </row>
    <row r="16" spans="1:5" x14ac:dyDescent="0.25">
      <c r="A16" s="136"/>
      <c r="B16" s="1" t="s">
        <v>232</v>
      </c>
      <c r="C16" s="1" t="s">
        <v>14</v>
      </c>
      <c r="D16" s="1">
        <v>0.21</v>
      </c>
      <c r="E16" s="126"/>
    </row>
    <row r="17" spans="1:5" x14ac:dyDescent="0.25">
      <c r="A17" s="136" t="s">
        <v>634</v>
      </c>
      <c r="B17" s="1" t="s">
        <v>635</v>
      </c>
      <c r="C17" s="1" t="s">
        <v>17</v>
      </c>
      <c r="D17" s="1">
        <v>0.504</v>
      </c>
      <c r="E17" s="126">
        <f>SUM(D17:D20)</f>
        <v>5.4340000000000002</v>
      </c>
    </row>
    <row r="18" spans="1:5" x14ac:dyDescent="0.25">
      <c r="A18" s="136"/>
      <c r="B18" s="1" t="s">
        <v>628</v>
      </c>
      <c r="C18" s="1" t="s">
        <v>10</v>
      </c>
      <c r="D18" s="1">
        <v>1.8</v>
      </c>
      <c r="E18" s="126"/>
    </row>
    <row r="19" spans="1:5" x14ac:dyDescent="0.25">
      <c r="A19" s="136"/>
      <c r="B19" s="1" t="s">
        <v>795</v>
      </c>
      <c r="C19" s="1" t="s">
        <v>13</v>
      </c>
      <c r="D19" s="1">
        <v>0.97</v>
      </c>
      <c r="E19" s="126"/>
    </row>
    <row r="20" spans="1:5" x14ac:dyDescent="0.25">
      <c r="A20" s="136"/>
      <c r="B20" s="1" t="s">
        <v>794</v>
      </c>
      <c r="C20" s="1" t="s">
        <v>15</v>
      </c>
      <c r="D20" s="1">
        <v>2.16</v>
      </c>
      <c r="E20" s="126"/>
    </row>
    <row r="21" spans="1:5" x14ac:dyDescent="0.25">
      <c r="A21" s="136" t="s">
        <v>634</v>
      </c>
      <c r="B21" s="1" t="s">
        <v>635</v>
      </c>
      <c r="C21" s="1" t="s">
        <v>626</v>
      </c>
      <c r="D21" s="1">
        <v>0.504</v>
      </c>
      <c r="E21" s="126">
        <f>SUM(D21:D24)</f>
        <v>4.4720000000000004</v>
      </c>
    </row>
    <row r="22" spans="1:5" x14ac:dyDescent="0.25">
      <c r="A22" s="136"/>
      <c r="B22" s="1" t="s">
        <v>232</v>
      </c>
      <c r="C22" s="1" t="s">
        <v>14</v>
      </c>
      <c r="D22" s="1">
        <v>0.21</v>
      </c>
      <c r="E22" s="126"/>
    </row>
    <row r="23" spans="1:5" x14ac:dyDescent="0.25">
      <c r="A23" s="136"/>
      <c r="B23" s="1" t="s">
        <v>639</v>
      </c>
      <c r="C23" s="1" t="s">
        <v>10</v>
      </c>
      <c r="D23" s="1">
        <v>3.3330000000000002</v>
      </c>
      <c r="E23" s="126"/>
    </row>
    <row r="24" spans="1:5" x14ac:dyDescent="0.25">
      <c r="A24" s="136"/>
      <c r="B24" s="1" t="s">
        <v>411</v>
      </c>
      <c r="C24" s="1" t="s">
        <v>167</v>
      </c>
      <c r="D24" s="1">
        <v>0.42499999999999999</v>
      </c>
      <c r="E24" s="126"/>
    </row>
    <row r="25" spans="1:5" x14ac:dyDescent="0.25">
      <c r="A25" s="1" t="s">
        <v>640</v>
      </c>
      <c r="B25" s="1" t="s">
        <v>641</v>
      </c>
      <c r="C25" s="1" t="s">
        <v>626</v>
      </c>
      <c r="D25" s="1">
        <v>0.504</v>
      </c>
      <c r="E25" s="1">
        <v>0.504</v>
      </c>
    </row>
    <row r="26" spans="1:5" x14ac:dyDescent="0.25">
      <c r="D26" s="131"/>
      <c r="E26" s="131"/>
    </row>
    <row r="27" spans="1:5" x14ac:dyDescent="0.25">
      <c r="A27" s="120" t="s">
        <v>723</v>
      </c>
      <c r="B27" s="120"/>
      <c r="C27" s="120"/>
      <c r="D27" s="120"/>
      <c r="E27" s="1"/>
    </row>
    <row r="28" spans="1:5" x14ac:dyDescent="0.25">
      <c r="A28" s="1" t="s">
        <v>599</v>
      </c>
      <c r="B28" s="1" t="s">
        <v>637</v>
      </c>
      <c r="C28" s="1" t="s">
        <v>638</v>
      </c>
      <c r="D28" s="8" t="s">
        <v>9</v>
      </c>
      <c r="E28" s="1"/>
    </row>
    <row r="29" spans="1:5" x14ac:dyDescent="0.25">
      <c r="A29" s="3" t="s">
        <v>642</v>
      </c>
      <c r="B29" s="1" t="s">
        <v>643</v>
      </c>
      <c r="C29" s="1" t="s">
        <v>17</v>
      </c>
      <c r="D29" s="8">
        <v>2</v>
      </c>
      <c r="E29" s="29">
        <v>2</v>
      </c>
    </row>
    <row r="30" spans="1:5" x14ac:dyDescent="0.25">
      <c r="A30" s="137" t="s">
        <v>646</v>
      </c>
      <c r="B30" s="1" t="s">
        <v>643</v>
      </c>
      <c r="C30" s="1" t="s">
        <v>17</v>
      </c>
      <c r="D30" s="8">
        <v>2</v>
      </c>
      <c r="E30" s="126">
        <v>2.1</v>
      </c>
    </row>
    <row r="31" spans="1:5" x14ac:dyDescent="0.25">
      <c r="A31" s="135"/>
      <c r="B31" s="1" t="s">
        <v>232</v>
      </c>
      <c r="C31" s="1" t="s">
        <v>13</v>
      </c>
      <c r="D31" s="8">
        <v>0.1</v>
      </c>
      <c r="E31" s="126"/>
    </row>
    <row r="32" spans="1:5" x14ac:dyDescent="0.25">
      <c r="A32" s="22" t="s">
        <v>644</v>
      </c>
      <c r="B32" s="1" t="s">
        <v>643</v>
      </c>
      <c r="C32" s="1" t="s">
        <v>17</v>
      </c>
      <c r="D32" s="8">
        <v>2</v>
      </c>
      <c r="E32" s="29">
        <v>2</v>
      </c>
    </row>
    <row r="33" spans="1:5" x14ac:dyDescent="0.25">
      <c r="A33" s="134" t="s">
        <v>645</v>
      </c>
      <c r="B33" s="1" t="s">
        <v>643</v>
      </c>
      <c r="C33" s="1" t="s">
        <v>17</v>
      </c>
      <c r="D33" s="8">
        <v>2</v>
      </c>
      <c r="E33" s="126">
        <v>2.21</v>
      </c>
    </row>
    <row r="34" spans="1:5" x14ac:dyDescent="0.25">
      <c r="A34" s="135"/>
      <c r="B34" s="1" t="s">
        <v>232</v>
      </c>
      <c r="C34" s="1" t="s">
        <v>14</v>
      </c>
      <c r="D34" s="8">
        <v>0.21</v>
      </c>
      <c r="E34" s="126"/>
    </row>
    <row r="35" spans="1:5" x14ac:dyDescent="0.25">
      <c r="A35" s="23"/>
    </row>
    <row r="51" spans="1:5" x14ac:dyDescent="0.25">
      <c r="A51" s="120" t="s">
        <v>647</v>
      </c>
      <c r="B51" s="120"/>
      <c r="C51" s="120"/>
      <c r="D51" s="120"/>
    </row>
    <row r="52" spans="1:5" x14ac:dyDescent="0.25">
      <c r="A52" s="136" t="s">
        <v>647</v>
      </c>
      <c r="B52" s="1" t="s">
        <v>648</v>
      </c>
      <c r="C52" s="1" t="s">
        <v>171</v>
      </c>
      <c r="D52" s="1">
        <v>1.92</v>
      </c>
      <c r="E52" s="126">
        <f>SUM(D52:D54)</f>
        <v>4.66</v>
      </c>
    </row>
    <row r="53" spans="1:5" x14ac:dyDescent="0.25">
      <c r="A53" s="136"/>
      <c r="B53" s="1" t="s">
        <v>649</v>
      </c>
      <c r="C53" s="1" t="s">
        <v>798</v>
      </c>
      <c r="D53" s="1">
        <v>2.7</v>
      </c>
      <c r="E53" s="126"/>
    </row>
    <row r="54" spans="1:5" x14ac:dyDescent="0.25">
      <c r="A54" s="136"/>
      <c r="B54" s="1" t="s">
        <v>331</v>
      </c>
      <c r="C54" s="1" t="s">
        <v>12</v>
      </c>
      <c r="D54" s="1">
        <v>0.04</v>
      </c>
      <c r="E54" s="126"/>
    </row>
    <row r="56" spans="1:5" x14ac:dyDescent="0.25">
      <c r="A56" s="120" t="s">
        <v>722</v>
      </c>
      <c r="B56" s="120"/>
      <c r="C56" s="120"/>
      <c r="D56" s="120"/>
      <c r="E56" s="126" t="s">
        <v>216</v>
      </c>
    </row>
    <row r="57" spans="1:5" x14ac:dyDescent="0.25">
      <c r="A57" s="1" t="s">
        <v>599</v>
      </c>
      <c r="B57" s="1" t="s">
        <v>637</v>
      </c>
      <c r="C57" s="1" t="s">
        <v>638</v>
      </c>
      <c r="D57" s="8" t="s">
        <v>9</v>
      </c>
      <c r="E57" s="126"/>
    </row>
    <row r="58" spans="1:5" x14ac:dyDescent="0.25">
      <c r="A58" s="137" t="s">
        <v>655</v>
      </c>
      <c r="B58" s="1" t="s">
        <v>656</v>
      </c>
      <c r="C58" s="1" t="s">
        <v>14</v>
      </c>
      <c r="D58" s="1">
        <v>3.0750000000000002</v>
      </c>
      <c r="E58" s="126">
        <f>SUM(D58:D59)</f>
        <v>3.2150000000000003</v>
      </c>
    </row>
    <row r="59" spans="1:5" x14ac:dyDescent="0.25">
      <c r="A59" s="135"/>
      <c r="B59" s="1" t="s">
        <v>232</v>
      </c>
      <c r="C59" s="1" t="s">
        <v>577</v>
      </c>
      <c r="D59" s="1">
        <v>0.14000000000000001</v>
      </c>
      <c r="E59" s="126"/>
    </row>
    <row r="60" spans="1:5" x14ac:dyDescent="0.25">
      <c r="A60" s="136" t="s">
        <v>701</v>
      </c>
      <c r="B60" s="1" t="s">
        <v>656</v>
      </c>
      <c r="C60" s="1" t="s">
        <v>14</v>
      </c>
      <c r="D60" s="1">
        <v>3.0750000000000002</v>
      </c>
      <c r="E60" s="126">
        <f>SUM(D60:D62)</f>
        <v>3.9910000000000005</v>
      </c>
    </row>
    <row r="61" spans="1:5" x14ac:dyDescent="0.25">
      <c r="A61" s="136"/>
      <c r="B61" s="1" t="s">
        <v>232</v>
      </c>
      <c r="C61" s="1" t="s">
        <v>577</v>
      </c>
      <c r="D61" s="1">
        <v>0.14000000000000001</v>
      </c>
      <c r="E61" s="126"/>
    </row>
    <row r="62" spans="1:5" x14ac:dyDescent="0.25">
      <c r="A62" s="136"/>
      <c r="B62" s="1" t="s">
        <v>702</v>
      </c>
      <c r="C62" s="1" t="s">
        <v>168</v>
      </c>
      <c r="D62" s="1">
        <v>0.77600000000000002</v>
      </c>
      <c r="E62" s="126"/>
    </row>
    <row r="63" spans="1:5" x14ac:dyDescent="0.25">
      <c r="A63" s="136" t="s">
        <v>703</v>
      </c>
      <c r="B63" s="1" t="s">
        <v>656</v>
      </c>
      <c r="C63" s="1" t="s">
        <v>14</v>
      </c>
      <c r="D63" s="1">
        <v>3.0750000000000002</v>
      </c>
      <c r="E63" s="126">
        <f>SUM(D63:D65)</f>
        <v>3.8150000000000004</v>
      </c>
    </row>
    <row r="64" spans="1:5" x14ac:dyDescent="0.25">
      <c r="A64" s="136"/>
      <c r="B64" s="1" t="s">
        <v>232</v>
      </c>
      <c r="C64" s="1" t="s">
        <v>577</v>
      </c>
      <c r="D64" s="1">
        <v>0.14000000000000001</v>
      </c>
      <c r="E64" s="126"/>
    </row>
    <row r="65" spans="1:5" x14ac:dyDescent="0.25">
      <c r="A65" s="136"/>
      <c r="B65" s="1" t="s">
        <v>704</v>
      </c>
      <c r="C65" s="1" t="s">
        <v>13</v>
      </c>
      <c r="D65" s="1">
        <v>0.6</v>
      </c>
      <c r="E65" s="126"/>
    </row>
    <row r="66" spans="1:5" x14ac:dyDescent="0.25">
      <c r="A66" s="136" t="s">
        <v>705</v>
      </c>
      <c r="B66" s="1" t="s">
        <v>656</v>
      </c>
      <c r="C66" s="1" t="s">
        <v>14</v>
      </c>
      <c r="D66" s="1">
        <v>3.0750000000000002</v>
      </c>
      <c r="E66" s="126">
        <f>SUM(D66:D68)</f>
        <v>3.8150000000000004</v>
      </c>
    </row>
    <row r="67" spans="1:5" x14ac:dyDescent="0.25">
      <c r="A67" s="136"/>
      <c r="B67" s="1" t="s">
        <v>232</v>
      </c>
      <c r="C67" s="1" t="s">
        <v>577</v>
      </c>
      <c r="D67" s="1">
        <v>0.14000000000000001</v>
      </c>
      <c r="E67" s="126"/>
    </row>
    <row r="68" spans="1:5" x14ac:dyDescent="0.25">
      <c r="A68" s="136"/>
      <c r="B68" s="1" t="s">
        <v>706</v>
      </c>
      <c r="C68" s="1" t="s">
        <v>13</v>
      </c>
      <c r="D68" s="1">
        <v>0.6</v>
      </c>
      <c r="E68" s="126"/>
    </row>
    <row r="69" spans="1:5" x14ac:dyDescent="0.25">
      <c r="A69" s="136" t="s">
        <v>707</v>
      </c>
      <c r="B69" s="1" t="s">
        <v>656</v>
      </c>
      <c r="C69" s="1" t="s">
        <v>14</v>
      </c>
      <c r="D69" s="1">
        <v>3.0750000000000002</v>
      </c>
      <c r="E69" s="126">
        <f>SUM(D69:D71)</f>
        <v>3.8150000000000004</v>
      </c>
    </row>
    <row r="70" spans="1:5" x14ac:dyDescent="0.25">
      <c r="A70" s="136"/>
      <c r="B70" s="1" t="s">
        <v>232</v>
      </c>
      <c r="C70" s="1" t="s">
        <v>577</v>
      </c>
      <c r="D70" s="1">
        <v>0.14000000000000001</v>
      </c>
      <c r="E70" s="126"/>
    </row>
    <row r="71" spans="1:5" x14ac:dyDescent="0.25">
      <c r="A71" s="136"/>
      <c r="B71" s="1" t="s">
        <v>708</v>
      </c>
      <c r="C71" s="1" t="s">
        <v>13</v>
      </c>
      <c r="D71" s="1">
        <v>0.6</v>
      </c>
      <c r="E71" s="126"/>
    </row>
    <row r="73" spans="1:5" x14ac:dyDescent="0.25">
      <c r="A73" s="120" t="s">
        <v>721</v>
      </c>
      <c r="B73" s="120"/>
      <c r="C73" s="120"/>
      <c r="D73" s="120"/>
      <c r="E73" s="129" t="s">
        <v>216</v>
      </c>
    </row>
    <row r="74" spans="1:5" x14ac:dyDescent="0.25">
      <c r="A74" s="1" t="s">
        <v>599</v>
      </c>
      <c r="B74" s="1" t="s">
        <v>637</v>
      </c>
      <c r="C74" s="1" t="s">
        <v>638</v>
      </c>
      <c r="D74" s="1" t="s">
        <v>9</v>
      </c>
      <c r="E74" s="130"/>
    </row>
    <row r="75" spans="1:5" x14ac:dyDescent="0.25">
      <c r="A75" s="137" t="s">
        <v>709</v>
      </c>
      <c r="B75" s="1" t="s">
        <v>710</v>
      </c>
      <c r="C75" s="1" t="s">
        <v>626</v>
      </c>
      <c r="D75" s="1">
        <v>0.5</v>
      </c>
      <c r="E75" s="126">
        <f>SUM(D75:D77)</f>
        <v>1.516</v>
      </c>
    </row>
    <row r="76" spans="1:5" x14ac:dyDescent="0.25">
      <c r="A76" s="134"/>
      <c r="B76" s="1" t="s">
        <v>232</v>
      </c>
      <c r="C76" s="1" t="s">
        <v>714</v>
      </c>
      <c r="D76" s="1">
        <v>0.26600000000000001</v>
      </c>
      <c r="E76" s="126"/>
    </row>
    <row r="77" spans="1:5" x14ac:dyDescent="0.25">
      <c r="A77" s="135"/>
      <c r="B77" s="1" t="s">
        <v>706</v>
      </c>
      <c r="C77" s="1" t="s">
        <v>13</v>
      </c>
      <c r="D77" s="1">
        <v>0.75</v>
      </c>
      <c r="E77" s="126"/>
    </row>
    <row r="78" spans="1:5" x14ac:dyDescent="0.25">
      <c r="A78" s="136" t="s">
        <v>711</v>
      </c>
      <c r="B78" s="1" t="s">
        <v>710</v>
      </c>
      <c r="C78" s="1" t="s">
        <v>626</v>
      </c>
      <c r="D78" s="1">
        <v>0.5</v>
      </c>
      <c r="E78" s="126">
        <f>SUM(D78:D80)</f>
        <v>1.516</v>
      </c>
    </row>
    <row r="79" spans="1:5" x14ac:dyDescent="0.25">
      <c r="A79" s="136"/>
      <c r="B79" s="1" t="s">
        <v>232</v>
      </c>
      <c r="C79" s="1" t="s">
        <v>714</v>
      </c>
      <c r="D79" s="1">
        <v>0.26600000000000001</v>
      </c>
      <c r="E79" s="126"/>
    </row>
    <row r="80" spans="1:5" x14ac:dyDescent="0.25">
      <c r="A80" s="136"/>
      <c r="B80" s="1" t="s">
        <v>704</v>
      </c>
      <c r="C80" s="1" t="s">
        <v>13</v>
      </c>
      <c r="D80" s="1">
        <v>0.75</v>
      </c>
      <c r="E80" s="126"/>
    </row>
    <row r="81" spans="1:5" x14ac:dyDescent="0.25">
      <c r="A81" s="136" t="s">
        <v>712</v>
      </c>
      <c r="B81" s="1" t="s">
        <v>710</v>
      </c>
      <c r="C81" s="1" t="s">
        <v>626</v>
      </c>
      <c r="D81" s="1">
        <v>0.5</v>
      </c>
      <c r="E81" s="126">
        <f>SUM(D81:D83)</f>
        <v>1.516</v>
      </c>
    </row>
    <row r="82" spans="1:5" x14ac:dyDescent="0.25">
      <c r="A82" s="136"/>
      <c r="B82" s="1" t="s">
        <v>232</v>
      </c>
      <c r="C82" s="1" t="s">
        <v>714</v>
      </c>
      <c r="D82" s="1">
        <v>0.26600000000000001</v>
      </c>
      <c r="E82" s="126"/>
    </row>
    <row r="83" spans="1:5" x14ac:dyDescent="0.25">
      <c r="A83" s="136"/>
      <c r="B83" s="1" t="s">
        <v>713</v>
      </c>
      <c r="C83" s="1" t="s">
        <v>13</v>
      </c>
      <c r="D83" s="1">
        <v>0.75</v>
      </c>
      <c r="E83" s="126"/>
    </row>
    <row r="84" spans="1:5" x14ac:dyDescent="0.25">
      <c r="A84" s="136" t="s">
        <v>715</v>
      </c>
      <c r="B84" s="1" t="s">
        <v>710</v>
      </c>
      <c r="C84" s="1" t="s">
        <v>626</v>
      </c>
      <c r="D84" s="1">
        <v>0.5</v>
      </c>
      <c r="E84" s="126">
        <v>1516</v>
      </c>
    </row>
    <row r="85" spans="1:5" x14ac:dyDescent="0.25">
      <c r="A85" s="136"/>
      <c r="B85" s="1" t="s">
        <v>232</v>
      </c>
      <c r="C85" s="1" t="s">
        <v>714</v>
      </c>
      <c r="D85" s="1">
        <v>0.26600000000000001</v>
      </c>
      <c r="E85" s="126"/>
    </row>
    <row r="86" spans="1:5" x14ac:dyDescent="0.25">
      <c r="A86" s="136"/>
      <c r="B86" s="1" t="s">
        <v>719</v>
      </c>
      <c r="C86" s="1" t="s">
        <v>13</v>
      </c>
      <c r="D86" s="1">
        <v>0.75</v>
      </c>
      <c r="E86" s="126"/>
    </row>
    <row r="87" spans="1:5" x14ac:dyDescent="0.25">
      <c r="A87" s="136" t="s">
        <v>716</v>
      </c>
      <c r="B87" s="1" t="s">
        <v>710</v>
      </c>
      <c r="C87" s="1" t="s">
        <v>626</v>
      </c>
      <c r="D87" s="1">
        <v>0.5</v>
      </c>
      <c r="E87" s="126">
        <v>1.516</v>
      </c>
    </row>
    <row r="88" spans="1:5" x14ac:dyDescent="0.25">
      <c r="A88" s="136"/>
      <c r="B88" s="1" t="s">
        <v>232</v>
      </c>
      <c r="C88" s="1" t="s">
        <v>714</v>
      </c>
      <c r="D88" s="1">
        <v>0.26600000000000001</v>
      </c>
      <c r="E88" s="126"/>
    </row>
    <row r="89" spans="1:5" x14ac:dyDescent="0.25">
      <c r="A89" s="136"/>
      <c r="B89" s="1" t="s">
        <v>720</v>
      </c>
      <c r="C89" s="1" t="s">
        <v>13</v>
      </c>
      <c r="D89" s="1">
        <v>0.75</v>
      </c>
      <c r="E89" s="126"/>
    </row>
    <row r="90" spans="1:5" x14ac:dyDescent="0.25">
      <c r="A90" s="136" t="s">
        <v>717</v>
      </c>
      <c r="B90" s="1" t="s">
        <v>710</v>
      </c>
      <c r="C90" s="1" t="s">
        <v>626</v>
      </c>
      <c r="D90" s="1">
        <v>0.5</v>
      </c>
      <c r="E90" s="126">
        <v>1.516</v>
      </c>
    </row>
    <row r="91" spans="1:5" x14ac:dyDescent="0.25">
      <c r="A91" s="136"/>
      <c r="B91" s="1" t="s">
        <v>232</v>
      </c>
      <c r="C91" s="1" t="s">
        <v>714</v>
      </c>
      <c r="D91" s="1">
        <v>0.26600000000000001</v>
      </c>
      <c r="E91" s="126"/>
    </row>
    <row r="92" spans="1:5" x14ac:dyDescent="0.25">
      <c r="A92" s="136"/>
      <c r="B92" s="1" t="s">
        <v>708</v>
      </c>
      <c r="C92" s="1" t="s">
        <v>13</v>
      </c>
      <c r="D92" s="1">
        <v>0.75</v>
      </c>
      <c r="E92" s="126"/>
    </row>
    <row r="93" spans="1:5" x14ac:dyDescent="0.25">
      <c r="A93" s="136" t="s">
        <v>718</v>
      </c>
      <c r="B93" s="1" t="s">
        <v>710</v>
      </c>
      <c r="C93" s="1" t="s">
        <v>626</v>
      </c>
      <c r="D93" s="1">
        <v>0.5</v>
      </c>
      <c r="E93" s="126">
        <f>SUM(D93:D95)</f>
        <v>3.9660000000000002</v>
      </c>
    </row>
    <row r="94" spans="1:5" x14ac:dyDescent="0.25">
      <c r="A94" s="136"/>
      <c r="B94" s="1" t="s">
        <v>232</v>
      </c>
      <c r="C94" s="1" t="s">
        <v>714</v>
      </c>
      <c r="D94" s="1">
        <v>0.26600000000000001</v>
      </c>
      <c r="E94" s="126"/>
    </row>
    <row r="95" spans="1:5" x14ac:dyDescent="0.25">
      <c r="A95" s="136"/>
      <c r="B95" s="1" t="s">
        <v>361</v>
      </c>
      <c r="C95" s="1" t="s">
        <v>292</v>
      </c>
      <c r="D95" s="1">
        <v>3.2</v>
      </c>
      <c r="E95" s="126"/>
    </row>
    <row r="101" spans="1:11" x14ac:dyDescent="0.25">
      <c r="A101" s="144" t="s">
        <v>724</v>
      </c>
      <c r="B101" s="144"/>
      <c r="C101" s="144"/>
      <c r="D101" s="144"/>
    </row>
    <row r="102" spans="1:11" x14ac:dyDescent="0.25">
      <c r="A102" s="24" t="s">
        <v>726</v>
      </c>
      <c r="B102" s="24" t="s">
        <v>727</v>
      </c>
      <c r="C102" s="142" t="s">
        <v>9</v>
      </c>
      <c r="D102" s="143"/>
    </row>
    <row r="103" spans="1:11" x14ac:dyDescent="0.25">
      <c r="A103" s="1" t="s">
        <v>725</v>
      </c>
      <c r="B103" s="1" t="s">
        <v>17</v>
      </c>
      <c r="C103" s="89">
        <v>0.45</v>
      </c>
      <c r="D103" s="89"/>
    </row>
    <row r="104" spans="1:11" x14ac:dyDescent="0.25">
      <c r="A104" s="1" t="s">
        <v>728</v>
      </c>
      <c r="B104" s="1" t="s">
        <v>184</v>
      </c>
      <c r="C104" s="89">
        <v>0.6</v>
      </c>
      <c r="D104" s="89"/>
    </row>
    <row r="105" spans="1:11" x14ac:dyDescent="0.25">
      <c r="A105" s="1" t="s">
        <v>729</v>
      </c>
      <c r="B105" s="1" t="s">
        <v>184</v>
      </c>
      <c r="C105" s="89">
        <v>0.6</v>
      </c>
      <c r="D105" s="89"/>
    </row>
    <row r="107" spans="1:11" x14ac:dyDescent="0.25">
      <c r="A107" s="1" t="s">
        <v>599</v>
      </c>
      <c r="B107" s="1" t="s">
        <v>637</v>
      </c>
      <c r="C107" s="1" t="s">
        <v>727</v>
      </c>
      <c r="D107" s="1" t="s">
        <v>9</v>
      </c>
    </row>
    <row r="108" spans="1:11" x14ac:dyDescent="0.25">
      <c r="A108" s="141" t="s">
        <v>743</v>
      </c>
      <c r="B108" s="1" t="s">
        <v>734</v>
      </c>
      <c r="C108" s="1" t="s">
        <v>17</v>
      </c>
      <c r="D108" s="1">
        <v>1.25</v>
      </c>
    </row>
    <row r="109" spans="1:11" x14ac:dyDescent="0.25">
      <c r="A109" s="141"/>
      <c r="B109" s="1" t="s">
        <v>735</v>
      </c>
      <c r="C109" s="1" t="s">
        <v>17</v>
      </c>
      <c r="D109" s="1">
        <v>1.25</v>
      </c>
      <c r="K109" s="33"/>
    </row>
    <row r="110" spans="1:11" x14ac:dyDescent="0.25">
      <c r="A110" s="141"/>
      <c r="B110" s="1" t="s">
        <v>736</v>
      </c>
      <c r="C110" s="1" t="s">
        <v>17</v>
      </c>
      <c r="D110" s="1">
        <v>1.25</v>
      </c>
    </row>
    <row r="111" spans="1:11" x14ac:dyDescent="0.25">
      <c r="A111" s="141"/>
      <c r="B111" s="1" t="s">
        <v>737</v>
      </c>
      <c r="C111" s="1" t="s">
        <v>17</v>
      </c>
      <c r="D111" s="1">
        <v>1.25</v>
      </c>
    </row>
    <row r="112" spans="1:11" x14ac:dyDescent="0.25">
      <c r="A112" s="141"/>
      <c r="B112" s="1" t="s">
        <v>738</v>
      </c>
      <c r="C112" s="1" t="s">
        <v>17</v>
      </c>
      <c r="D112" s="1">
        <v>1.25</v>
      </c>
    </row>
    <row r="113" spans="1:11" x14ac:dyDescent="0.25">
      <c r="A113" s="141"/>
      <c r="B113" s="1" t="s">
        <v>739</v>
      </c>
      <c r="C113" s="1" t="s">
        <v>17</v>
      </c>
      <c r="D113" s="1">
        <v>1.25</v>
      </c>
    </row>
    <row r="114" spans="1:11" x14ac:dyDescent="0.25">
      <c r="A114" s="141"/>
      <c r="B114" s="1" t="s">
        <v>740</v>
      </c>
      <c r="C114" s="1" t="s">
        <v>17</v>
      </c>
      <c r="D114" s="1">
        <v>1.25</v>
      </c>
    </row>
    <row r="115" spans="1:11" x14ac:dyDescent="0.25">
      <c r="A115" s="141"/>
      <c r="B115" s="1" t="s">
        <v>741</v>
      </c>
      <c r="C115" s="1" t="s">
        <v>17</v>
      </c>
      <c r="D115" s="1">
        <v>1.25</v>
      </c>
    </row>
    <row r="116" spans="1:11" x14ac:dyDescent="0.25">
      <c r="A116" s="141"/>
      <c r="B116" s="1" t="s">
        <v>742</v>
      </c>
      <c r="C116" s="1" t="s">
        <v>17</v>
      </c>
      <c r="D116" s="1">
        <v>1.25</v>
      </c>
    </row>
    <row r="118" spans="1:11" x14ac:dyDescent="0.25">
      <c r="A118" s="27" t="s">
        <v>599</v>
      </c>
      <c r="B118" s="27" t="s">
        <v>637</v>
      </c>
      <c r="C118" s="27" t="s">
        <v>638</v>
      </c>
      <c r="D118" s="27" t="s">
        <v>9</v>
      </c>
      <c r="E118" s="56" t="s">
        <v>216</v>
      </c>
    </row>
    <row r="119" spans="1:11" x14ac:dyDescent="0.25">
      <c r="A119" s="26" t="s">
        <v>744</v>
      </c>
      <c r="B119" s="1" t="s">
        <v>744</v>
      </c>
      <c r="C119" s="1" t="s">
        <v>616</v>
      </c>
      <c r="D119" s="1">
        <v>0.75</v>
      </c>
      <c r="E119" s="56"/>
    </row>
    <row r="120" spans="1:11" x14ac:dyDescent="0.25">
      <c r="A120" s="128" t="s">
        <v>746</v>
      </c>
      <c r="B120" s="1" t="s">
        <v>744</v>
      </c>
      <c r="C120" s="1" t="s">
        <v>616</v>
      </c>
      <c r="D120" s="1">
        <v>0.75</v>
      </c>
      <c r="E120" s="126">
        <f>SUM(D120:D121)</f>
        <v>0.8</v>
      </c>
    </row>
    <row r="121" spans="1:11" x14ac:dyDescent="0.25">
      <c r="A121" s="128"/>
      <c r="B121" s="1" t="s">
        <v>745</v>
      </c>
      <c r="C121" s="1" t="s">
        <v>29</v>
      </c>
      <c r="D121" s="1">
        <v>0.05</v>
      </c>
      <c r="E121" s="126"/>
    </row>
    <row r="122" spans="1:11" x14ac:dyDescent="0.25">
      <c r="A122" s="128" t="s">
        <v>747</v>
      </c>
      <c r="B122" s="1" t="s">
        <v>744</v>
      </c>
      <c r="C122" s="1" t="s">
        <v>616</v>
      </c>
      <c r="D122" s="1">
        <v>0.75</v>
      </c>
      <c r="E122" s="126">
        <f>SUM(D122:D123)</f>
        <v>3.95</v>
      </c>
    </row>
    <row r="123" spans="1:11" x14ac:dyDescent="0.25">
      <c r="A123" s="128"/>
      <c r="B123" s="1" t="s">
        <v>731</v>
      </c>
      <c r="C123" s="1" t="s">
        <v>10</v>
      </c>
      <c r="D123" s="1">
        <v>3.2</v>
      </c>
      <c r="E123" s="126"/>
    </row>
    <row r="124" spans="1:11" x14ac:dyDescent="0.25">
      <c r="A124" s="128" t="s">
        <v>748</v>
      </c>
      <c r="B124" s="1" t="s">
        <v>744</v>
      </c>
      <c r="C124" s="1" t="s">
        <v>616</v>
      </c>
      <c r="D124" s="1">
        <v>0.75</v>
      </c>
      <c r="E124" s="126">
        <f>SUM(D124:D126)</f>
        <v>1.7</v>
      </c>
    </row>
    <row r="125" spans="1:11" x14ac:dyDescent="0.25">
      <c r="A125" s="128"/>
      <c r="B125" s="1" t="s">
        <v>445</v>
      </c>
      <c r="C125" s="1" t="s">
        <v>13</v>
      </c>
      <c r="D125" s="1">
        <v>0.9</v>
      </c>
      <c r="E125" s="126"/>
    </row>
    <row r="126" spans="1:11" x14ac:dyDescent="0.25">
      <c r="A126" s="128"/>
      <c r="B126" s="1" t="s">
        <v>745</v>
      </c>
      <c r="C126" s="1" t="s">
        <v>29</v>
      </c>
      <c r="D126" s="1">
        <v>0.05</v>
      </c>
      <c r="E126" s="126"/>
    </row>
    <row r="127" spans="1:11" x14ac:dyDescent="0.25">
      <c r="A127" s="1" t="s">
        <v>793</v>
      </c>
      <c r="B127" s="1" t="s">
        <v>749</v>
      </c>
      <c r="C127" s="1" t="s">
        <v>17</v>
      </c>
      <c r="D127" s="1">
        <v>5.5</v>
      </c>
      <c r="E127" s="32"/>
      <c r="K127" s="33"/>
    </row>
    <row r="129" spans="1:5" x14ac:dyDescent="0.25">
      <c r="A129" s="27" t="s">
        <v>599</v>
      </c>
      <c r="B129" s="27" t="s">
        <v>637</v>
      </c>
      <c r="C129" s="27" t="s">
        <v>638</v>
      </c>
      <c r="D129" s="27" t="s">
        <v>9</v>
      </c>
      <c r="E129" s="32"/>
    </row>
    <row r="130" spans="1:5" x14ac:dyDescent="0.25">
      <c r="A130" s="145" t="s">
        <v>751</v>
      </c>
      <c r="B130" s="1" t="s">
        <v>812</v>
      </c>
      <c r="C130" s="1" t="s">
        <v>616</v>
      </c>
      <c r="D130" s="1">
        <v>1.5</v>
      </c>
      <c r="E130" s="126">
        <f>SUM(D130:D133)</f>
        <v>7.875</v>
      </c>
    </row>
    <row r="131" spans="1:5" x14ac:dyDescent="0.25">
      <c r="A131" s="145"/>
      <c r="B131" s="1" t="s">
        <v>815</v>
      </c>
      <c r="C131" s="1" t="s">
        <v>616</v>
      </c>
      <c r="D131" s="1">
        <v>3</v>
      </c>
      <c r="E131" s="126"/>
    </row>
    <row r="132" spans="1:5" x14ac:dyDescent="0.25">
      <c r="A132" s="145"/>
      <c r="B132" s="1" t="s">
        <v>816</v>
      </c>
      <c r="C132" s="1" t="s">
        <v>616</v>
      </c>
      <c r="D132" s="1">
        <v>2.5</v>
      </c>
      <c r="E132" s="126"/>
    </row>
    <row r="133" spans="1:5" x14ac:dyDescent="0.25">
      <c r="A133" s="145"/>
      <c r="B133" s="1" t="s">
        <v>927</v>
      </c>
      <c r="C133" s="1" t="s">
        <v>616</v>
      </c>
      <c r="D133" s="1">
        <v>0.875</v>
      </c>
      <c r="E133" s="126"/>
    </row>
    <row r="135" spans="1:5" x14ac:dyDescent="0.25">
      <c r="A135" s="120" t="s">
        <v>752</v>
      </c>
      <c r="B135" s="120"/>
      <c r="C135" s="120"/>
      <c r="D135" s="120"/>
      <c r="E135" s="126" t="s">
        <v>216</v>
      </c>
    </row>
    <row r="136" spans="1:5" x14ac:dyDescent="0.25">
      <c r="A136" s="1" t="s">
        <v>599</v>
      </c>
      <c r="B136" s="1" t="s">
        <v>637</v>
      </c>
      <c r="C136" s="1" t="s">
        <v>638</v>
      </c>
      <c r="D136" s="8" t="s">
        <v>9</v>
      </c>
      <c r="E136" s="126"/>
    </row>
    <row r="137" spans="1:5" x14ac:dyDescent="0.25">
      <c r="A137" s="146" t="s">
        <v>753</v>
      </c>
      <c r="B137" s="1" t="s">
        <v>812</v>
      </c>
      <c r="C137" s="1" t="s">
        <v>616</v>
      </c>
      <c r="D137" s="1">
        <v>1.5</v>
      </c>
      <c r="E137" s="126">
        <f>SUM(D137:D138)</f>
        <v>4.9000000000000004</v>
      </c>
    </row>
    <row r="138" spans="1:5" x14ac:dyDescent="0.25">
      <c r="A138" s="147"/>
      <c r="B138" s="1" t="s">
        <v>382</v>
      </c>
      <c r="C138" s="1" t="s">
        <v>17</v>
      </c>
      <c r="D138" s="1">
        <v>3.4</v>
      </c>
      <c r="E138" s="126"/>
    </row>
    <row r="139" spans="1:5" x14ac:dyDescent="0.25">
      <c r="A139" s="148" t="s">
        <v>754</v>
      </c>
      <c r="B139" s="1" t="s">
        <v>813</v>
      </c>
      <c r="C139" s="1" t="s">
        <v>616</v>
      </c>
      <c r="D139" s="1">
        <v>2.5</v>
      </c>
      <c r="E139" s="126">
        <f>SUM(D139:D140)</f>
        <v>5.5</v>
      </c>
    </row>
    <row r="140" spans="1:5" x14ac:dyDescent="0.25">
      <c r="A140" s="148"/>
      <c r="B140" s="1" t="s">
        <v>755</v>
      </c>
      <c r="C140" s="1" t="s">
        <v>17</v>
      </c>
      <c r="D140" s="1">
        <v>3</v>
      </c>
      <c r="E140" s="126"/>
    </row>
    <row r="141" spans="1:5" x14ac:dyDescent="0.25">
      <c r="A141" s="148" t="s">
        <v>756</v>
      </c>
      <c r="B141" s="1" t="s">
        <v>817</v>
      </c>
      <c r="C141" s="1" t="s">
        <v>244</v>
      </c>
      <c r="D141" s="1">
        <v>6</v>
      </c>
      <c r="E141" s="126">
        <f>SUM(D141:D142)</f>
        <v>6.8250000000000002</v>
      </c>
    </row>
    <row r="142" spans="1:5" x14ac:dyDescent="0.25">
      <c r="A142" s="148"/>
      <c r="B142" s="1" t="s">
        <v>814</v>
      </c>
      <c r="C142" s="1" t="s">
        <v>616</v>
      </c>
      <c r="D142" s="1">
        <v>0.82499999999999996</v>
      </c>
      <c r="E142" s="126"/>
    </row>
    <row r="143" spans="1:5" x14ac:dyDescent="0.25">
      <c r="A143" s="146" t="s">
        <v>758</v>
      </c>
      <c r="B143" s="1" t="s">
        <v>382</v>
      </c>
      <c r="C143" s="1" t="s">
        <v>17</v>
      </c>
      <c r="D143" s="1">
        <v>3</v>
      </c>
      <c r="E143" s="126">
        <f>SUM(D143:D145)</f>
        <v>5.61</v>
      </c>
    </row>
    <row r="144" spans="1:5" x14ac:dyDescent="0.25">
      <c r="A144" s="147"/>
      <c r="B144" s="1" t="s">
        <v>799</v>
      </c>
      <c r="C144" s="1" t="s">
        <v>14</v>
      </c>
      <c r="D144" s="1">
        <v>2.4</v>
      </c>
      <c r="E144" s="126"/>
    </row>
    <row r="145" spans="1:11" x14ac:dyDescent="0.25">
      <c r="A145" s="149"/>
      <c r="B145" s="1" t="s">
        <v>713</v>
      </c>
      <c r="C145" s="1" t="s">
        <v>800</v>
      </c>
      <c r="D145" s="1">
        <v>0.21</v>
      </c>
      <c r="E145" s="126"/>
    </row>
    <row r="151" spans="1:11" x14ac:dyDescent="0.25">
      <c r="A151" s="120" t="s">
        <v>759</v>
      </c>
      <c r="B151" s="120"/>
      <c r="C151" s="120"/>
      <c r="D151" s="120"/>
      <c r="E151" s="126" t="s">
        <v>216</v>
      </c>
    </row>
    <row r="152" spans="1:11" x14ac:dyDescent="0.25">
      <c r="A152" s="1" t="s">
        <v>599</v>
      </c>
      <c r="B152" s="1" t="s">
        <v>637</v>
      </c>
      <c r="C152" s="1" t="s">
        <v>638</v>
      </c>
      <c r="D152" s="8" t="s">
        <v>9</v>
      </c>
      <c r="E152" s="126"/>
    </row>
    <row r="153" spans="1:11" x14ac:dyDescent="0.25">
      <c r="A153" s="138" t="s">
        <v>764</v>
      </c>
      <c r="B153" s="1" t="s">
        <v>760</v>
      </c>
      <c r="C153" s="1" t="s">
        <v>14</v>
      </c>
      <c r="D153" s="1">
        <v>2.7</v>
      </c>
      <c r="E153" s="126">
        <f>SUM(D153:D155)</f>
        <v>3.629</v>
      </c>
    </row>
    <row r="154" spans="1:11" x14ac:dyDescent="0.25">
      <c r="A154" s="139"/>
      <c r="B154" s="1" t="s">
        <v>710</v>
      </c>
      <c r="C154" s="1" t="s">
        <v>626</v>
      </c>
      <c r="D154" s="1">
        <v>0.504</v>
      </c>
      <c r="E154" s="126"/>
    </row>
    <row r="155" spans="1:11" x14ac:dyDescent="0.25">
      <c r="A155" s="140"/>
      <c r="B155" s="1" t="s">
        <v>761</v>
      </c>
      <c r="C155" s="1" t="s">
        <v>167</v>
      </c>
      <c r="D155" s="1">
        <v>0.42499999999999999</v>
      </c>
      <c r="E155" s="126"/>
    </row>
    <row r="156" spans="1:11" x14ac:dyDescent="0.25">
      <c r="A156" s="128" t="s">
        <v>118</v>
      </c>
      <c r="B156" s="1" t="s">
        <v>762</v>
      </c>
      <c r="C156" s="1" t="s">
        <v>14</v>
      </c>
      <c r="D156" s="1">
        <v>2.7</v>
      </c>
      <c r="E156" s="126">
        <f>SUM(D156:D158)</f>
        <v>3.629</v>
      </c>
    </row>
    <row r="157" spans="1:11" x14ac:dyDescent="0.25">
      <c r="A157" s="128"/>
      <c r="B157" s="1" t="s">
        <v>710</v>
      </c>
      <c r="C157" s="1" t="s">
        <v>626</v>
      </c>
      <c r="D157" s="1">
        <v>0.504</v>
      </c>
      <c r="E157" s="126"/>
      <c r="K157" s="33"/>
    </row>
    <row r="158" spans="1:11" x14ac:dyDescent="0.25">
      <c r="A158" s="128"/>
      <c r="B158" s="1" t="s">
        <v>761</v>
      </c>
      <c r="C158" s="1" t="s">
        <v>730</v>
      </c>
      <c r="D158" s="1">
        <v>0.42499999999999999</v>
      </c>
      <c r="E158" s="126"/>
    </row>
    <row r="159" spans="1:11" x14ac:dyDescent="0.25">
      <c r="E159" s="33"/>
    </row>
    <row r="160" spans="1:11" x14ac:dyDescent="0.25">
      <c r="A160" s="120" t="s">
        <v>763</v>
      </c>
      <c r="B160" s="120"/>
      <c r="C160" s="120"/>
      <c r="D160" s="120"/>
      <c r="E160" s="126" t="s">
        <v>216</v>
      </c>
    </row>
    <row r="161" spans="1:5" x14ac:dyDescent="0.25">
      <c r="A161" s="1" t="s">
        <v>599</v>
      </c>
      <c r="B161" s="1" t="s">
        <v>637</v>
      </c>
      <c r="C161" s="1" t="s">
        <v>638</v>
      </c>
      <c r="D161" s="8" t="s">
        <v>9</v>
      </c>
      <c r="E161" s="126"/>
    </row>
    <row r="162" spans="1:5" x14ac:dyDescent="0.25">
      <c r="A162" s="138" t="s">
        <v>765</v>
      </c>
      <c r="B162" s="1" t="s">
        <v>382</v>
      </c>
      <c r="C162" s="1" t="s">
        <v>17</v>
      </c>
      <c r="D162" s="1">
        <v>3</v>
      </c>
      <c r="E162" s="126">
        <f>SUM(D162:D165)</f>
        <v>7.875</v>
      </c>
    </row>
    <row r="163" spans="1:5" x14ac:dyDescent="0.25">
      <c r="A163" s="139"/>
      <c r="B163" s="1" t="s">
        <v>330</v>
      </c>
      <c r="C163" s="1" t="s">
        <v>13</v>
      </c>
      <c r="D163" s="1">
        <v>0.375</v>
      </c>
      <c r="E163" s="126"/>
    </row>
    <row r="164" spans="1:5" x14ac:dyDescent="0.25">
      <c r="A164" s="139"/>
      <c r="B164" s="1" t="s">
        <v>416</v>
      </c>
      <c r="C164" s="1" t="s">
        <v>168</v>
      </c>
      <c r="D164" s="1">
        <v>2.1</v>
      </c>
      <c r="E164" s="126"/>
    </row>
    <row r="165" spans="1:5" x14ac:dyDescent="0.25">
      <c r="A165" s="140"/>
      <c r="B165" s="1" t="s">
        <v>30</v>
      </c>
      <c r="C165" s="1" t="s">
        <v>178</v>
      </c>
      <c r="D165" s="1">
        <v>2.4</v>
      </c>
      <c r="E165" s="126"/>
    </row>
    <row r="166" spans="1:5" x14ac:dyDescent="0.25">
      <c r="A166" s="128" t="s">
        <v>766</v>
      </c>
      <c r="B166" s="1" t="s">
        <v>767</v>
      </c>
      <c r="C166" s="1" t="s">
        <v>185</v>
      </c>
      <c r="D166" s="1">
        <v>8.4700000000000006</v>
      </c>
      <c r="E166" s="126">
        <f>SUM(D166:D172)</f>
        <v>16.599999999999998</v>
      </c>
    </row>
    <row r="167" spans="1:5" x14ac:dyDescent="0.25">
      <c r="A167" s="128"/>
      <c r="B167" s="1" t="s">
        <v>382</v>
      </c>
      <c r="C167" s="1" t="s">
        <v>17</v>
      </c>
      <c r="D167" s="1">
        <v>3</v>
      </c>
      <c r="E167" s="126"/>
    </row>
    <row r="168" spans="1:5" x14ac:dyDescent="0.25">
      <c r="A168" s="128"/>
      <c r="B168" s="1" t="s">
        <v>801</v>
      </c>
      <c r="C168" s="1" t="s">
        <v>168</v>
      </c>
      <c r="D168" s="1">
        <v>2.1</v>
      </c>
      <c r="E168" s="126"/>
    </row>
    <row r="169" spans="1:5" x14ac:dyDescent="0.25">
      <c r="A169" s="128"/>
      <c r="B169" s="1" t="s">
        <v>330</v>
      </c>
      <c r="C169" s="1" t="s">
        <v>13</v>
      </c>
      <c r="D169" s="1">
        <v>0.375</v>
      </c>
      <c r="E169" s="126"/>
    </row>
    <row r="170" spans="1:5" x14ac:dyDescent="0.25">
      <c r="A170" s="128"/>
      <c r="B170" s="1" t="s">
        <v>472</v>
      </c>
      <c r="C170" s="1" t="s">
        <v>167</v>
      </c>
      <c r="D170" s="1">
        <v>0.14000000000000001</v>
      </c>
      <c r="E170" s="126"/>
    </row>
    <row r="171" spans="1:5" x14ac:dyDescent="0.25">
      <c r="A171" s="128"/>
      <c r="B171" s="1" t="s">
        <v>30</v>
      </c>
      <c r="C171" s="1" t="s">
        <v>178</v>
      </c>
      <c r="D171" s="1">
        <v>2.4</v>
      </c>
      <c r="E171" s="126"/>
    </row>
    <row r="172" spans="1:5" x14ac:dyDescent="0.25">
      <c r="A172" s="128"/>
      <c r="B172" s="1" t="s">
        <v>405</v>
      </c>
      <c r="C172" s="1" t="s">
        <v>167</v>
      </c>
      <c r="D172" s="1">
        <v>0.115</v>
      </c>
      <c r="E172" s="126"/>
    </row>
    <row r="173" spans="1:5" x14ac:dyDescent="0.25">
      <c r="A173" s="128" t="s">
        <v>768</v>
      </c>
      <c r="B173" s="1" t="s">
        <v>767</v>
      </c>
      <c r="C173" s="1" t="s">
        <v>185</v>
      </c>
      <c r="D173" s="1">
        <v>8.4700000000000006</v>
      </c>
      <c r="E173" s="126">
        <f>SUM(D173:D179)</f>
        <v>17.059999999999999</v>
      </c>
    </row>
    <row r="174" spans="1:5" x14ac:dyDescent="0.25">
      <c r="A174" s="128"/>
      <c r="B174" s="1" t="s">
        <v>382</v>
      </c>
      <c r="C174" s="1" t="s">
        <v>17</v>
      </c>
      <c r="D174" s="1">
        <v>3</v>
      </c>
      <c r="E174" s="126"/>
    </row>
    <row r="175" spans="1:5" x14ac:dyDescent="0.25">
      <c r="A175" s="128"/>
      <c r="B175" s="1" t="s">
        <v>416</v>
      </c>
      <c r="C175" s="1" t="s">
        <v>168</v>
      </c>
      <c r="D175" s="1">
        <v>2.1</v>
      </c>
      <c r="E175" s="126"/>
    </row>
    <row r="176" spans="1:5" x14ac:dyDescent="0.25">
      <c r="A176" s="128"/>
      <c r="B176" s="1" t="s">
        <v>330</v>
      </c>
      <c r="C176" s="1" t="s">
        <v>13</v>
      </c>
      <c r="D176" s="1">
        <v>0.375</v>
      </c>
      <c r="E176" s="126"/>
    </row>
    <row r="177" spans="1:11" x14ac:dyDescent="0.25">
      <c r="A177" s="128"/>
      <c r="B177" s="1" t="s">
        <v>802</v>
      </c>
      <c r="C177" s="1" t="s">
        <v>13</v>
      </c>
      <c r="D177" s="1">
        <v>0.6</v>
      </c>
      <c r="E177" s="126"/>
    </row>
    <row r="178" spans="1:11" x14ac:dyDescent="0.25">
      <c r="A178" s="128"/>
      <c r="B178" s="1" t="s">
        <v>30</v>
      </c>
      <c r="C178" s="1" t="s">
        <v>12</v>
      </c>
      <c r="D178" s="1">
        <v>2.4</v>
      </c>
      <c r="E178" s="126"/>
    </row>
    <row r="179" spans="1:11" x14ac:dyDescent="0.25">
      <c r="A179" s="128"/>
      <c r="B179" s="1" t="s">
        <v>405</v>
      </c>
      <c r="C179" s="1" t="s">
        <v>167</v>
      </c>
      <c r="D179" s="1">
        <v>0.115</v>
      </c>
      <c r="E179" s="126"/>
    </row>
    <row r="189" spans="1:11" x14ac:dyDescent="0.25">
      <c r="K189" s="33"/>
    </row>
    <row r="201" spans="1:5" x14ac:dyDescent="0.25">
      <c r="A201" s="120" t="s">
        <v>769</v>
      </c>
      <c r="B201" s="120"/>
      <c r="C201" s="120"/>
      <c r="D201" s="120"/>
      <c r="E201" s="126" t="s">
        <v>216</v>
      </c>
    </row>
    <row r="202" spans="1:5" x14ac:dyDescent="0.25">
      <c r="A202" s="1" t="s">
        <v>599</v>
      </c>
      <c r="B202" s="1" t="s">
        <v>637</v>
      </c>
      <c r="C202" s="1" t="s">
        <v>638</v>
      </c>
      <c r="D202" s="8" t="s">
        <v>9</v>
      </c>
      <c r="E202" s="126"/>
    </row>
    <row r="203" spans="1:5" x14ac:dyDescent="0.25">
      <c r="A203" s="138" t="s">
        <v>770</v>
      </c>
      <c r="B203" s="1" t="s">
        <v>771</v>
      </c>
      <c r="C203" s="1" t="s">
        <v>13</v>
      </c>
      <c r="D203" s="1">
        <v>0.6</v>
      </c>
      <c r="E203" s="126">
        <f>SUM(D203:D207)</f>
        <v>7.15</v>
      </c>
    </row>
    <row r="204" spans="1:5" x14ac:dyDescent="0.25">
      <c r="A204" s="139"/>
      <c r="B204" s="1" t="s">
        <v>799</v>
      </c>
      <c r="C204" s="1" t="s">
        <v>14</v>
      </c>
      <c r="D204" s="1">
        <v>2.4</v>
      </c>
      <c r="E204" s="126"/>
    </row>
    <row r="205" spans="1:5" x14ac:dyDescent="0.25">
      <c r="A205" s="139"/>
      <c r="B205" s="1" t="s">
        <v>804</v>
      </c>
      <c r="C205" s="1" t="s">
        <v>10</v>
      </c>
      <c r="D205" s="1">
        <v>1.75</v>
      </c>
      <c r="E205" s="126"/>
    </row>
    <row r="206" spans="1:5" x14ac:dyDescent="0.25">
      <c r="A206" s="139"/>
      <c r="B206" s="1" t="s">
        <v>803</v>
      </c>
      <c r="C206" s="1" t="s">
        <v>166</v>
      </c>
      <c r="D206" s="1">
        <v>0.9</v>
      </c>
      <c r="E206" s="126"/>
    </row>
    <row r="207" spans="1:5" x14ac:dyDescent="0.25">
      <c r="A207" s="140"/>
      <c r="B207" s="1" t="s">
        <v>805</v>
      </c>
      <c r="C207" s="1" t="s">
        <v>14</v>
      </c>
      <c r="D207" s="1">
        <v>1.5</v>
      </c>
      <c r="E207" s="126"/>
    </row>
    <row r="208" spans="1:5" x14ac:dyDescent="0.25">
      <c r="A208" s="138" t="s">
        <v>772</v>
      </c>
      <c r="B208" s="1" t="s">
        <v>806</v>
      </c>
      <c r="C208" s="1" t="s">
        <v>11</v>
      </c>
      <c r="D208" s="1">
        <v>0.9</v>
      </c>
      <c r="E208" s="126">
        <f>SUM(D208:D211)</f>
        <v>5.4</v>
      </c>
    </row>
    <row r="209" spans="1:5" x14ac:dyDescent="0.25">
      <c r="A209" s="139"/>
      <c r="B209" s="1" t="s">
        <v>382</v>
      </c>
      <c r="C209" s="1" t="s">
        <v>17</v>
      </c>
      <c r="D209" s="1">
        <v>3</v>
      </c>
      <c r="E209" s="126"/>
    </row>
    <row r="210" spans="1:5" x14ac:dyDescent="0.25">
      <c r="A210" s="139"/>
      <c r="B210" s="1" t="s">
        <v>805</v>
      </c>
      <c r="C210" s="1" t="s">
        <v>14</v>
      </c>
      <c r="D210" s="1">
        <v>1.5</v>
      </c>
      <c r="E210" s="126"/>
    </row>
    <row r="211" spans="1:5" x14ac:dyDescent="0.25">
      <c r="A211" s="140"/>
      <c r="B211" s="1"/>
      <c r="C211" s="1"/>
      <c r="D211" s="1"/>
      <c r="E211" s="126"/>
    </row>
    <row r="212" spans="1:5" x14ac:dyDescent="0.25">
      <c r="A212" s="138" t="s">
        <v>773</v>
      </c>
      <c r="B212" s="1" t="s">
        <v>774</v>
      </c>
      <c r="C212" s="1" t="s">
        <v>17</v>
      </c>
      <c r="D212" s="1">
        <v>3</v>
      </c>
      <c r="E212" s="126">
        <f>SUM(D212:D215)</f>
        <v>7</v>
      </c>
    </row>
    <row r="213" spans="1:5" x14ac:dyDescent="0.25">
      <c r="A213" s="139"/>
      <c r="B213" s="1" t="s">
        <v>821</v>
      </c>
      <c r="C213" s="1" t="s">
        <v>616</v>
      </c>
      <c r="D213" s="1">
        <v>2.5</v>
      </c>
      <c r="E213" s="126"/>
    </row>
    <row r="214" spans="1:5" x14ac:dyDescent="0.25">
      <c r="A214" s="139"/>
      <c r="B214" s="1" t="s">
        <v>805</v>
      </c>
      <c r="C214" s="1" t="s">
        <v>14</v>
      </c>
      <c r="D214" s="1">
        <v>1.5</v>
      </c>
      <c r="E214" s="126"/>
    </row>
    <row r="215" spans="1:5" x14ac:dyDescent="0.25">
      <c r="A215" s="140"/>
      <c r="B215" s="1"/>
      <c r="C215" s="1"/>
      <c r="D215" s="1"/>
      <c r="E215" s="126"/>
    </row>
    <row r="216" spans="1:5" x14ac:dyDescent="0.25">
      <c r="A216" s="138" t="s">
        <v>775</v>
      </c>
      <c r="B216" s="1" t="s">
        <v>799</v>
      </c>
      <c r="C216" s="1" t="s">
        <v>14</v>
      </c>
      <c r="D216" s="1">
        <v>2.4</v>
      </c>
      <c r="E216" s="126">
        <f>SUM(D216)</f>
        <v>2.4</v>
      </c>
    </row>
    <row r="217" spans="1:5" x14ac:dyDescent="0.25">
      <c r="A217" s="139"/>
      <c r="B217" s="1" t="s">
        <v>803</v>
      </c>
      <c r="C217" s="1" t="s">
        <v>166</v>
      </c>
      <c r="D217" s="1">
        <v>0.6</v>
      </c>
      <c r="E217" s="126"/>
    </row>
    <row r="218" spans="1:5" x14ac:dyDescent="0.25">
      <c r="A218" s="139"/>
      <c r="B218" s="1" t="s">
        <v>807</v>
      </c>
      <c r="C218" s="1" t="s">
        <v>12</v>
      </c>
      <c r="D218" s="1">
        <v>0.6</v>
      </c>
      <c r="E218" s="126"/>
    </row>
    <row r="219" spans="1:5" x14ac:dyDescent="0.25">
      <c r="A219" s="140"/>
      <c r="B219" s="1"/>
      <c r="C219" s="1"/>
      <c r="D219" s="1"/>
      <c r="E219" s="126"/>
    </row>
    <row r="220" spans="1:5" x14ac:dyDescent="0.25">
      <c r="A220" s="138" t="s">
        <v>757</v>
      </c>
      <c r="B220" s="1" t="s">
        <v>808</v>
      </c>
      <c r="C220" s="1" t="s">
        <v>172</v>
      </c>
      <c r="D220" s="1">
        <v>0.99</v>
      </c>
      <c r="E220" s="126">
        <f>SUM(D220:D223)</f>
        <v>9.09</v>
      </c>
    </row>
    <row r="221" spans="1:5" x14ac:dyDescent="0.25">
      <c r="A221" s="139"/>
      <c r="B221" s="1" t="s">
        <v>750</v>
      </c>
      <c r="C221" s="1" t="s">
        <v>244</v>
      </c>
      <c r="D221" s="1">
        <v>6</v>
      </c>
      <c r="E221" s="126"/>
    </row>
    <row r="222" spans="1:5" x14ac:dyDescent="0.25">
      <c r="A222" s="139"/>
      <c r="B222" s="1" t="s">
        <v>805</v>
      </c>
      <c r="C222" s="1" t="s">
        <v>14</v>
      </c>
      <c r="D222" s="1">
        <v>1.5</v>
      </c>
      <c r="E222" s="126"/>
    </row>
    <row r="223" spans="1:5" x14ac:dyDescent="0.25">
      <c r="A223" s="140"/>
      <c r="B223" s="1" t="s">
        <v>809</v>
      </c>
      <c r="C223" s="1" t="s">
        <v>12</v>
      </c>
      <c r="D223" s="1">
        <v>0.6</v>
      </c>
      <c r="E223" s="126"/>
    </row>
    <row r="224" spans="1:5" x14ac:dyDescent="0.25">
      <c r="A224" s="138" t="s">
        <v>776</v>
      </c>
      <c r="B224" s="1" t="s">
        <v>805</v>
      </c>
      <c r="C224" s="1" t="s">
        <v>14</v>
      </c>
      <c r="D224" s="1">
        <v>1.5</v>
      </c>
      <c r="E224" s="126">
        <f>SUM(D224:D227)</f>
        <v>2.4450000000000003</v>
      </c>
    </row>
    <row r="225" spans="1:11" x14ac:dyDescent="0.25">
      <c r="A225" s="139"/>
      <c r="B225" s="1" t="s">
        <v>802</v>
      </c>
      <c r="C225" s="1" t="s">
        <v>13</v>
      </c>
      <c r="D225" s="1">
        <v>0.6</v>
      </c>
      <c r="E225" s="126"/>
      <c r="K225" s="33"/>
    </row>
    <row r="226" spans="1:11" x14ac:dyDescent="0.25">
      <c r="A226" s="139"/>
      <c r="B226" s="1" t="s">
        <v>811</v>
      </c>
      <c r="C226" s="1" t="s">
        <v>29</v>
      </c>
      <c r="D226" s="1">
        <v>0.18</v>
      </c>
      <c r="E226" s="126"/>
    </row>
    <row r="227" spans="1:11" x14ac:dyDescent="0.25">
      <c r="A227" s="140"/>
      <c r="B227" s="1" t="s">
        <v>810</v>
      </c>
      <c r="C227" s="1" t="s">
        <v>167</v>
      </c>
      <c r="D227" s="1">
        <v>0.16500000000000001</v>
      </c>
      <c r="E227" s="126"/>
    </row>
    <row r="228" spans="1:11" x14ac:dyDescent="0.25">
      <c r="A228" s="138" t="s">
        <v>777</v>
      </c>
      <c r="B228" s="1" t="s">
        <v>778</v>
      </c>
      <c r="C228" s="1" t="s">
        <v>172</v>
      </c>
      <c r="D228" s="1">
        <v>0.99</v>
      </c>
      <c r="E228" s="126">
        <f>SUM(D228:D231)</f>
        <v>4.47</v>
      </c>
    </row>
    <row r="229" spans="1:11" x14ac:dyDescent="0.25">
      <c r="A229" s="139"/>
      <c r="B229" s="1" t="s">
        <v>822</v>
      </c>
      <c r="C229" s="1" t="s">
        <v>172</v>
      </c>
      <c r="D229" s="1">
        <v>0.99</v>
      </c>
      <c r="E229" s="126"/>
    </row>
    <row r="230" spans="1:11" x14ac:dyDescent="0.25">
      <c r="A230" s="139"/>
      <c r="B230" s="1" t="s">
        <v>750</v>
      </c>
      <c r="C230" s="1" t="s">
        <v>172</v>
      </c>
      <c r="D230" s="1">
        <v>0.99</v>
      </c>
      <c r="E230" s="126"/>
    </row>
    <row r="231" spans="1:11" x14ac:dyDescent="0.25">
      <c r="A231" s="140"/>
      <c r="B231" s="1" t="s">
        <v>805</v>
      </c>
      <c r="C231" s="1" t="s">
        <v>14</v>
      </c>
      <c r="D231" s="1">
        <v>1.5</v>
      </c>
      <c r="E231" s="126"/>
    </row>
    <row r="251" spans="1:11" x14ac:dyDescent="0.25">
      <c r="A251" s="120" t="s">
        <v>779</v>
      </c>
      <c r="B251" s="120"/>
      <c r="C251" s="120"/>
      <c r="D251" s="120"/>
      <c r="E251" s="126" t="s">
        <v>216</v>
      </c>
    </row>
    <row r="252" spans="1:11" x14ac:dyDescent="0.25">
      <c r="A252" s="1" t="s">
        <v>599</v>
      </c>
      <c r="B252" s="1" t="s">
        <v>637</v>
      </c>
      <c r="C252" s="1" t="s">
        <v>638</v>
      </c>
      <c r="D252" s="8" t="s">
        <v>9</v>
      </c>
      <c r="E252" s="126"/>
    </row>
    <row r="253" spans="1:11" x14ac:dyDescent="0.25">
      <c r="A253" s="138" t="s">
        <v>780</v>
      </c>
      <c r="B253" s="1" t="s">
        <v>781</v>
      </c>
      <c r="C253" s="1" t="s">
        <v>12</v>
      </c>
      <c r="D253" s="1">
        <v>0.1</v>
      </c>
      <c r="E253" s="126">
        <f>SUM(D253:D256)</f>
        <v>0.92300000000000004</v>
      </c>
    </row>
    <row r="254" spans="1:11" x14ac:dyDescent="0.25">
      <c r="A254" s="139"/>
      <c r="B254" s="1" t="s">
        <v>782</v>
      </c>
      <c r="C254" s="1" t="s">
        <v>12</v>
      </c>
      <c r="D254" s="1">
        <v>0.1</v>
      </c>
      <c r="E254" s="126"/>
      <c r="K254" s="33"/>
    </row>
    <row r="255" spans="1:11" x14ac:dyDescent="0.25">
      <c r="A255" s="139"/>
      <c r="B255" s="1" t="s">
        <v>783</v>
      </c>
      <c r="C255" s="1" t="s">
        <v>13</v>
      </c>
      <c r="D255" s="1">
        <v>0.6</v>
      </c>
      <c r="E255" s="126"/>
      <c r="K255" s="33"/>
    </row>
    <row r="256" spans="1:11" x14ac:dyDescent="0.25">
      <c r="A256" s="140"/>
      <c r="B256" s="1" t="s">
        <v>784</v>
      </c>
      <c r="C256" s="1" t="s">
        <v>797</v>
      </c>
      <c r="D256" s="1">
        <v>0.123</v>
      </c>
      <c r="E256" s="126"/>
    </row>
    <row r="257" spans="1:11" x14ac:dyDescent="0.25">
      <c r="A257" s="128" t="s">
        <v>785</v>
      </c>
      <c r="B257" s="1" t="s">
        <v>781</v>
      </c>
      <c r="C257" s="1" t="s">
        <v>12</v>
      </c>
      <c r="D257" s="1">
        <v>0.1</v>
      </c>
      <c r="E257" s="126">
        <f>SUM(D257:D261)</f>
        <v>1.343</v>
      </c>
    </row>
    <row r="258" spans="1:11" x14ac:dyDescent="0.25">
      <c r="A258" s="128"/>
      <c r="B258" s="1" t="s">
        <v>782</v>
      </c>
      <c r="C258" s="1" t="s">
        <v>12</v>
      </c>
      <c r="D258" s="1">
        <v>0.1</v>
      </c>
      <c r="E258" s="126"/>
    </row>
    <row r="259" spans="1:11" x14ac:dyDescent="0.25">
      <c r="A259" s="128"/>
      <c r="B259" s="1" t="s">
        <v>783</v>
      </c>
      <c r="C259" s="1" t="s">
        <v>13</v>
      </c>
      <c r="D259" s="1">
        <v>0.6</v>
      </c>
      <c r="E259" s="126"/>
    </row>
    <row r="260" spans="1:11" x14ac:dyDescent="0.25">
      <c r="A260" s="128"/>
      <c r="B260" s="1" t="s">
        <v>784</v>
      </c>
      <c r="C260" s="1" t="s">
        <v>797</v>
      </c>
      <c r="D260" s="1">
        <v>0.123</v>
      </c>
      <c r="E260" s="126"/>
    </row>
    <row r="261" spans="1:11" x14ac:dyDescent="0.25">
      <c r="A261" s="128"/>
      <c r="B261" s="1" t="s">
        <v>786</v>
      </c>
      <c r="C261" s="1" t="s">
        <v>267</v>
      </c>
      <c r="D261" s="1">
        <v>0.42</v>
      </c>
      <c r="E261" s="126"/>
    </row>
    <row r="262" spans="1:11" x14ac:dyDescent="0.25">
      <c r="A262" s="138" t="s">
        <v>787</v>
      </c>
      <c r="B262" s="1" t="s">
        <v>781</v>
      </c>
      <c r="C262" s="1" t="s">
        <v>12</v>
      </c>
      <c r="D262" s="1">
        <v>0.1</v>
      </c>
      <c r="E262" s="126">
        <f>SUM(D262:D266)</f>
        <v>1.343</v>
      </c>
    </row>
    <row r="263" spans="1:11" x14ac:dyDescent="0.25">
      <c r="A263" s="139"/>
      <c r="B263" s="1" t="s">
        <v>782</v>
      </c>
      <c r="C263" s="1" t="s">
        <v>12</v>
      </c>
      <c r="D263" s="1">
        <v>0.1</v>
      </c>
      <c r="E263" s="126"/>
    </row>
    <row r="264" spans="1:11" x14ac:dyDescent="0.25">
      <c r="A264" s="139"/>
      <c r="B264" s="1" t="s">
        <v>783</v>
      </c>
      <c r="C264" s="1" t="s">
        <v>13</v>
      </c>
      <c r="D264" s="1">
        <v>0.6</v>
      </c>
      <c r="E264" s="126"/>
    </row>
    <row r="265" spans="1:11" x14ac:dyDescent="0.25">
      <c r="A265" s="139"/>
      <c r="B265" s="1" t="s">
        <v>784</v>
      </c>
      <c r="C265" s="1" t="s">
        <v>797</v>
      </c>
      <c r="D265" s="1">
        <v>0.123</v>
      </c>
      <c r="E265" s="126"/>
    </row>
    <row r="266" spans="1:11" x14ac:dyDescent="0.25">
      <c r="A266" s="140"/>
      <c r="B266" s="1" t="s">
        <v>771</v>
      </c>
      <c r="C266" s="1" t="s">
        <v>267</v>
      </c>
      <c r="D266" s="1">
        <v>0.42</v>
      </c>
      <c r="E266" s="126"/>
    </row>
    <row r="267" spans="1:11" x14ac:dyDescent="0.25">
      <c r="A267" s="128" t="s">
        <v>788</v>
      </c>
      <c r="B267" s="1" t="s">
        <v>781</v>
      </c>
      <c r="C267" s="1" t="s">
        <v>12</v>
      </c>
      <c r="D267" s="1">
        <v>0.1</v>
      </c>
      <c r="E267" s="126">
        <f>SUM(D267:D271)</f>
        <v>1.343</v>
      </c>
    </row>
    <row r="268" spans="1:11" x14ac:dyDescent="0.25">
      <c r="A268" s="128"/>
      <c r="B268" s="1" t="s">
        <v>782</v>
      </c>
      <c r="C268" s="1" t="s">
        <v>12</v>
      </c>
      <c r="D268" s="1">
        <v>0.1</v>
      </c>
      <c r="E268" s="126"/>
    </row>
    <row r="269" spans="1:11" x14ac:dyDescent="0.25">
      <c r="A269" s="128"/>
      <c r="B269" s="1" t="s">
        <v>783</v>
      </c>
      <c r="C269" s="1" t="s">
        <v>13</v>
      </c>
      <c r="D269" s="1">
        <v>0.6</v>
      </c>
      <c r="E269" s="126"/>
    </row>
    <row r="270" spans="1:11" x14ac:dyDescent="0.25">
      <c r="A270" s="128"/>
      <c r="B270" s="1" t="s">
        <v>784</v>
      </c>
      <c r="C270" s="1" t="s">
        <v>797</v>
      </c>
      <c r="D270" s="1">
        <v>0.123</v>
      </c>
      <c r="E270" s="126"/>
    </row>
    <row r="271" spans="1:11" x14ac:dyDescent="0.25">
      <c r="A271" s="128"/>
      <c r="B271" s="1" t="s">
        <v>789</v>
      </c>
      <c r="C271" s="1" t="s">
        <v>267</v>
      </c>
      <c r="D271" s="1">
        <v>0.42</v>
      </c>
      <c r="E271" s="126"/>
      <c r="K271" s="33"/>
    </row>
    <row r="272" spans="1:11" x14ac:dyDescent="0.25">
      <c r="A272" s="128" t="s">
        <v>427</v>
      </c>
      <c r="B272" s="1" t="s">
        <v>781</v>
      </c>
      <c r="C272" s="1" t="s">
        <v>12</v>
      </c>
      <c r="D272" s="1">
        <v>0.1</v>
      </c>
      <c r="E272" s="126">
        <f>SUM(D272:D276)</f>
        <v>1.343</v>
      </c>
    </row>
    <row r="273" spans="1:5" x14ac:dyDescent="0.25">
      <c r="A273" s="128"/>
      <c r="B273" s="1" t="s">
        <v>782</v>
      </c>
      <c r="C273" s="1" t="s">
        <v>12</v>
      </c>
      <c r="D273" s="1">
        <v>0.1</v>
      </c>
      <c r="E273" s="126"/>
    </row>
    <row r="274" spans="1:5" x14ac:dyDescent="0.25">
      <c r="A274" s="128"/>
      <c r="B274" s="1" t="s">
        <v>783</v>
      </c>
      <c r="C274" s="1" t="s">
        <v>13</v>
      </c>
      <c r="D274" s="1">
        <v>0.6</v>
      </c>
      <c r="E274" s="126"/>
    </row>
    <row r="275" spans="1:5" x14ac:dyDescent="0.25">
      <c r="A275" s="128"/>
      <c r="B275" s="1" t="s">
        <v>784</v>
      </c>
      <c r="C275" s="1" t="s">
        <v>797</v>
      </c>
      <c r="D275" s="1">
        <v>0.123</v>
      </c>
      <c r="E275" s="126"/>
    </row>
    <row r="276" spans="1:5" x14ac:dyDescent="0.25">
      <c r="A276" s="128"/>
      <c r="B276" s="1" t="s">
        <v>427</v>
      </c>
      <c r="C276" s="1" t="s">
        <v>267</v>
      </c>
      <c r="D276" s="1">
        <v>0.42</v>
      </c>
      <c r="E276" s="126"/>
    </row>
    <row r="277" spans="1:5" x14ac:dyDescent="0.25">
      <c r="A277" s="128" t="s">
        <v>775</v>
      </c>
      <c r="B277" s="1" t="s">
        <v>781</v>
      </c>
      <c r="C277" s="1" t="s">
        <v>12</v>
      </c>
      <c r="D277" s="1">
        <v>0.1</v>
      </c>
      <c r="E277" s="126">
        <f>SUM(D277:D281)</f>
        <v>1.343</v>
      </c>
    </row>
    <row r="278" spans="1:5" x14ac:dyDescent="0.25">
      <c r="A278" s="128"/>
      <c r="B278" s="1" t="s">
        <v>782</v>
      </c>
      <c r="C278" s="1" t="s">
        <v>12</v>
      </c>
      <c r="D278" s="1">
        <v>0.1</v>
      </c>
      <c r="E278" s="126"/>
    </row>
    <row r="279" spans="1:5" x14ac:dyDescent="0.25">
      <c r="A279" s="128"/>
      <c r="B279" s="1" t="s">
        <v>783</v>
      </c>
      <c r="C279" s="1" t="s">
        <v>13</v>
      </c>
      <c r="D279" s="1">
        <v>0.6</v>
      </c>
      <c r="E279" s="126"/>
    </row>
    <row r="280" spans="1:5" x14ac:dyDescent="0.25">
      <c r="A280" s="128"/>
      <c r="B280" s="1" t="s">
        <v>784</v>
      </c>
      <c r="C280" s="1" t="s">
        <v>797</v>
      </c>
      <c r="D280" s="1">
        <v>0.123</v>
      </c>
      <c r="E280" s="126"/>
    </row>
    <row r="281" spans="1:5" x14ac:dyDescent="0.25">
      <c r="A281" s="128"/>
      <c r="B281" s="1" t="s">
        <v>790</v>
      </c>
      <c r="C281" s="1" t="s">
        <v>267</v>
      </c>
      <c r="D281" s="1">
        <v>0.42</v>
      </c>
      <c r="E281" s="126"/>
    </row>
    <row r="282" spans="1:5" x14ac:dyDescent="0.25">
      <c r="A282" s="138" t="s">
        <v>791</v>
      </c>
      <c r="B282" s="1" t="s">
        <v>781</v>
      </c>
      <c r="C282" s="1" t="s">
        <v>12</v>
      </c>
      <c r="D282" s="1">
        <v>0.1</v>
      </c>
      <c r="E282" s="126">
        <f>SUM(D282:D285)</f>
        <v>4.3</v>
      </c>
    </row>
    <row r="283" spans="1:5" x14ac:dyDescent="0.25">
      <c r="A283" s="139"/>
      <c r="B283" s="1" t="s">
        <v>782</v>
      </c>
      <c r="C283" s="1" t="s">
        <v>12</v>
      </c>
      <c r="D283" s="1">
        <v>0.1</v>
      </c>
      <c r="E283" s="126"/>
    </row>
    <row r="284" spans="1:5" x14ac:dyDescent="0.25">
      <c r="A284" s="139"/>
      <c r="B284" s="1" t="s">
        <v>783</v>
      </c>
      <c r="C284" s="1" t="s">
        <v>13</v>
      </c>
      <c r="D284" s="1">
        <v>0.6</v>
      </c>
      <c r="E284" s="126"/>
    </row>
    <row r="285" spans="1:5" x14ac:dyDescent="0.25">
      <c r="A285" s="140"/>
      <c r="B285" s="1" t="s">
        <v>792</v>
      </c>
      <c r="C285" s="1" t="s">
        <v>446</v>
      </c>
      <c r="D285" s="1">
        <v>3.5</v>
      </c>
      <c r="E285" s="126"/>
    </row>
    <row r="301" spans="1:5" x14ac:dyDescent="0.25">
      <c r="A301" s="120" t="s">
        <v>823</v>
      </c>
      <c r="B301" s="120"/>
      <c r="C301" s="120"/>
      <c r="D301" s="120"/>
      <c r="E301" s="129" t="s">
        <v>216</v>
      </c>
    </row>
    <row r="302" spans="1:5" x14ac:dyDescent="0.25">
      <c r="A302" s="1" t="s">
        <v>599</v>
      </c>
      <c r="B302" s="1" t="s">
        <v>637</v>
      </c>
      <c r="C302" s="1" t="s">
        <v>638</v>
      </c>
      <c r="D302" s="1" t="s">
        <v>9</v>
      </c>
      <c r="E302" s="130"/>
    </row>
    <row r="303" spans="1:5" x14ac:dyDescent="0.25">
      <c r="A303" s="138" t="s">
        <v>772</v>
      </c>
      <c r="B303" s="1" t="s">
        <v>863</v>
      </c>
      <c r="C303" s="1" t="s">
        <v>168</v>
      </c>
      <c r="D303" s="1">
        <v>2.48</v>
      </c>
      <c r="E303" s="126">
        <f>SUM(D303:D305)</f>
        <v>10.629999999999999</v>
      </c>
    </row>
    <row r="304" spans="1:5" x14ac:dyDescent="0.25">
      <c r="A304" s="139"/>
      <c r="B304" s="1" t="s">
        <v>865</v>
      </c>
      <c r="C304" s="1" t="s">
        <v>10</v>
      </c>
      <c r="D304" s="1">
        <v>1.85</v>
      </c>
      <c r="E304" s="126"/>
    </row>
    <row r="305" spans="1:11" x14ac:dyDescent="0.25">
      <c r="A305" s="139"/>
      <c r="B305" s="1" t="s">
        <v>824</v>
      </c>
      <c r="C305" s="1" t="s">
        <v>185</v>
      </c>
      <c r="D305" s="1">
        <v>6.3</v>
      </c>
      <c r="E305" s="126"/>
    </row>
    <row r="306" spans="1:11" x14ac:dyDescent="0.25">
      <c r="A306" s="128" t="s">
        <v>825</v>
      </c>
      <c r="B306" s="1" t="s">
        <v>864</v>
      </c>
      <c r="C306" s="1" t="s">
        <v>213</v>
      </c>
      <c r="D306" s="1">
        <v>2.25</v>
      </c>
      <c r="E306" s="126">
        <f>SUM(D306:D310)</f>
        <v>12.2</v>
      </c>
    </row>
    <row r="307" spans="1:11" x14ac:dyDescent="0.25">
      <c r="A307" s="128"/>
      <c r="B307" s="1" t="s">
        <v>824</v>
      </c>
      <c r="C307" s="1" t="s">
        <v>185</v>
      </c>
      <c r="D307" s="1">
        <v>6.3</v>
      </c>
      <c r="E307" s="126"/>
    </row>
    <row r="308" spans="1:11" x14ac:dyDescent="0.25">
      <c r="A308" s="128"/>
      <c r="B308" s="1" t="s">
        <v>307</v>
      </c>
      <c r="C308" s="1" t="s">
        <v>11</v>
      </c>
      <c r="D308" s="1">
        <v>0.6</v>
      </c>
      <c r="E308" s="126"/>
    </row>
    <row r="309" spans="1:11" x14ac:dyDescent="0.25">
      <c r="A309" s="128"/>
      <c r="B309" s="1" t="s">
        <v>865</v>
      </c>
      <c r="C309" s="1" t="s">
        <v>10</v>
      </c>
      <c r="D309" s="1">
        <v>1.85</v>
      </c>
      <c r="E309" s="126"/>
    </row>
    <row r="310" spans="1:11" x14ac:dyDescent="0.25">
      <c r="A310" s="128"/>
      <c r="B310" s="1" t="s">
        <v>361</v>
      </c>
      <c r="C310" s="1" t="s">
        <v>11</v>
      </c>
      <c r="D310" s="1">
        <v>1.2</v>
      </c>
      <c r="E310" s="126"/>
    </row>
    <row r="311" spans="1:11" x14ac:dyDescent="0.25">
      <c r="A311" s="128" t="s">
        <v>826</v>
      </c>
      <c r="B311" s="1" t="s">
        <v>827</v>
      </c>
      <c r="C311" s="1" t="s">
        <v>250</v>
      </c>
      <c r="D311" s="1">
        <v>5.4</v>
      </c>
      <c r="E311" s="126">
        <f>SUM(D311:D313)</f>
        <v>13.549999999999999</v>
      </c>
    </row>
    <row r="312" spans="1:11" x14ac:dyDescent="0.25">
      <c r="A312" s="128"/>
      <c r="B312" s="1" t="s">
        <v>824</v>
      </c>
      <c r="C312" s="1" t="s">
        <v>185</v>
      </c>
      <c r="D312" s="1">
        <v>6.3</v>
      </c>
      <c r="E312" s="126"/>
    </row>
    <row r="313" spans="1:11" x14ac:dyDescent="0.25">
      <c r="A313" s="128"/>
      <c r="B313" s="1" t="s">
        <v>865</v>
      </c>
      <c r="C313" s="1" t="s">
        <v>10</v>
      </c>
      <c r="D313" s="1">
        <v>1.85</v>
      </c>
      <c r="E313" s="126"/>
    </row>
    <row r="314" spans="1:11" x14ac:dyDescent="0.25">
      <c r="A314" s="128" t="s">
        <v>828</v>
      </c>
      <c r="B314" s="1" t="s">
        <v>866</v>
      </c>
      <c r="C314" s="1" t="s">
        <v>171</v>
      </c>
      <c r="D314" s="1">
        <v>1.32</v>
      </c>
      <c r="E314" s="126">
        <f>SUM(D314:D316)</f>
        <v>9.4700000000000006</v>
      </c>
    </row>
    <row r="315" spans="1:11" x14ac:dyDescent="0.25">
      <c r="A315" s="128"/>
      <c r="B315" s="1" t="s">
        <v>824</v>
      </c>
      <c r="C315" s="1" t="s">
        <v>185</v>
      </c>
      <c r="D315" s="1">
        <v>6.3</v>
      </c>
      <c r="E315" s="126"/>
    </row>
    <row r="316" spans="1:11" x14ac:dyDescent="0.25">
      <c r="A316" s="128"/>
      <c r="B316" s="1" t="s">
        <v>865</v>
      </c>
      <c r="C316" s="1" t="s">
        <v>10</v>
      </c>
      <c r="D316" s="1">
        <v>1.85</v>
      </c>
      <c r="E316" s="126"/>
    </row>
    <row r="317" spans="1:11" x14ac:dyDescent="0.25">
      <c r="A317" s="128" t="s">
        <v>829</v>
      </c>
      <c r="B317" s="1" t="s">
        <v>830</v>
      </c>
      <c r="C317" s="1" t="s">
        <v>171</v>
      </c>
      <c r="D317" s="1">
        <v>2.4</v>
      </c>
      <c r="E317" s="126">
        <f>SUM(D317:D319)</f>
        <v>10.549999999999999</v>
      </c>
    </row>
    <row r="318" spans="1:11" x14ac:dyDescent="0.25">
      <c r="A318" s="128"/>
      <c r="B318" s="1" t="s">
        <v>824</v>
      </c>
      <c r="C318" s="1" t="s">
        <v>185</v>
      </c>
      <c r="D318" s="1">
        <v>6.3</v>
      </c>
      <c r="E318" s="126"/>
      <c r="K318" s="33"/>
    </row>
    <row r="319" spans="1:11" x14ac:dyDescent="0.25">
      <c r="A319" s="128"/>
      <c r="B319" s="1" t="s">
        <v>865</v>
      </c>
      <c r="C319" s="1" t="s">
        <v>10</v>
      </c>
      <c r="D319" s="1">
        <v>1.85</v>
      </c>
      <c r="E319" s="126"/>
      <c r="K319" s="33"/>
    </row>
    <row r="320" spans="1:11" x14ac:dyDescent="0.25">
      <c r="A320" s="128" t="s">
        <v>831</v>
      </c>
      <c r="B320" s="1" t="s">
        <v>867</v>
      </c>
      <c r="C320" s="1" t="s">
        <v>180</v>
      </c>
      <c r="D320" s="1">
        <v>1.61</v>
      </c>
      <c r="E320" s="126">
        <f>SUM(D320:D323)</f>
        <v>11.459999999999999</v>
      </c>
    </row>
    <row r="321" spans="1:5" x14ac:dyDescent="0.25">
      <c r="A321" s="128"/>
      <c r="B321" s="1" t="s">
        <v>824</v>
      </c>
      <c r="C321" s="1" t="s">
        <v>185</v>
      </c>
      <c r="D321" s="1">
        <v>6.3</v>
      </c>
      <c r="E321" s="126"/>
    </row>
    <row r="322" spans="1:5" x14ac:dyDescent="0.25">
      <c r="A322" s="128"/>
      <c r="B322" s="1" t="s">
        <v>868</v>
      </c>
      <c r="C322" s="1" t="s">
        <v>17</v>
      </c>
      <c r="D322" s="1">
        <v>1.7</v>
      </c>
      <c r="E322" s="126"/>
    </row>
    <row r="323" spans="1:5" x14ac:dyDescent="0.25">
      <c r="A323" s="128"/>
      <c r="B323" s="1" t="s">
        <v>865</v>
      </c>
      <c r="C323" s="1" t="s">
        <v>10</v>
      </c>
      <c r="D323" s="1">
        <v>1.85</v>
      </c>
      <c r="E323" s="126"/>
    </row>
    <row r="324" spans="1:5" x14ac:dyDescent="0.25">
      <c r="A324" s="128" t="s">
        <v>832</v>
      </c>
      <c r="B324" s="1" t="s">
        <v>845</v>
      </c>
      <c r="C324" s="1" t="s">
        <v>180</v>
      </c>
      <c r="D324" s="1">
        <v>2.33</v>
      </c>
      <c r="E324" s="126">
        <f>SUM(D324:D328)</f>
        <v>12.920999999999999</v>
      </c>
    </row>
    <row r="325" spans="1:5" x14ac:dyDescent="0.25">
      <c r="A325" s="128"/>
      <c r="B325" s="1" t="s">
        <v>824</v>
      </c>
      <c r="C325" s="1" t="s">
        <v>185</v>
      </c>
      <c r="D325" s="1">
        <v>6.3</v>
      </c>
      <c r="E325" s="126"/>
    </row>
    <row r="326" spans="1:5" x14ac:dyDescent="0.25">
      <c r="A326" s="128"/>
      <c r="B326" s="1" t="s">
        <v>847</v>
      </c>
      <c r="C326" s="1" t="s">
        <v>167</v>
      </c>
      <c r="D326" s="1">
        <v>0.42499999999999999</v>
      </c>
      <c r="E326" s="126"/>
    </row>
    <row r="327" spans="1:5" x14ac:dyDescent="0.25">
      <c r="A327" s="128"/>
      <c r="B327" s="1" t="s">
        <v>865</v>
      </c>
      <c r="C327" s="1" t="s">
        <v>10</v>
      </c>
      <c r="D327" s="1">
        <v>1.85</v>
      </c>
      <c r="E327" s="126"/>
    </row>
    <row r="328" spans="1:5" x14ac:dyDescent="0.25">
      <c r="A328" s="128"/>
      <c r="B328" s="1" t="s">
        <v>846</v>
      </c>
      <c r="C328" s="1" t="s">
        <v>458</v>
      </c>
      <c r="D328" s="1">
        <v>2.016</v>
      </c>
      <c r="E328" s="126"/>
    </row>
    <row r="330" spans="1:5" x14ac:dyDescent="0.25">
      <c r="A330" s="120" t="s">
        <v>835</v>
      </c>
      <c r="B330" s="120"/>
      <c r="C330" s="120"/>
      <c r="D330" s="120"/>
      <c r="E330" s="126" t="s">
        <v>216</v>
      </c>
    </row>
    <row r="331" spans="1:5" x14ac:dyDescent="0.25">
      <c r="A331" s="1" t="s">
        <v>599</v>
      </c>
      <c r="B331" s="1" t="s">
        <v>637</v>
      </c>
      <c r="C331" s="1" t="s">
        <v>638</v>
      </c>
      <c r="D331" s="8" t="s">
        <v>9</v>
      </c>
      <c r="E331" s="126"/>
    </row>
    <row r="332" spans="1:5" x14ac:dyDescent="0.25">
      <c r="A332" s="128" t="s">
        <v>833</v>
      </c>
      <c r="B332" s="1" t="s">
        <v>806</v>
      </c>
      <c r="C332" s="1" t="s">
        <v>11</v>
      </c>
      <c r="D332" s="1">
        <v>1.83</v>
      </c>
      <c r="E332" s="126">
        <f>SUM(D332:D335)</f>
        <v>6.6349999999999998</v>
      </c>
    </row>
    <row r="333" spans="1:5" x14ac:dyDescent="0.25">
      <c r="A333" s="128"/>
      <c r="B333" s="1" t="s">
        <v>903</v>
      </c>
      <c r="C333" s="1" t="s">
        <v>166</v>
      </c>
      <c r="D333" s="1">
        <v>0.91500000000000004</v>
      </c>
      <c r="E333" s="126"/>
    </row>
    <row r="334" spans="1:5" x14ac:dyDescent="0.25">
      <c r="A334" s="128"/>
      <c r="B334" s="1" t="s">
        <v>771</v>
      </c>
      <c r="C334" s="1" t="s">
        <v>11</v>
      </c>
      <c r="D334" s="1">
        <v>0.39</v>
      </c>
      <c r="E334" s="126"/>
    </row>
    <row r="335" spans="1:5" x14ac:dyDescent="0.25">
      <c r="A335" s="128"/>
      <c r="B335" s="1" t="s">
        <v>834</v>
      </c>
      <c r="C335" s="1" t="s">
        <v>446</v>
      </c>
      <c r="D335" s="1">
        <v>3.5</v>
      </c>
      <c r="E335" s="126"/>
    </row>
    <row r="336" spans="1:5" x14ac:dyDescent="0.25">
      <c r="A336" s="128" t="s">
        <v>836</v>
      </c>
      <c r="B336" s="1" t="s">
        <v>869</v>
      </c>
      <c r="C336" s="1" t="s">
        <v>11</v>
      </c>
      <c r="D336" s="1">
        <v>0.39</v>
      </c>
      <c r="E336" s="126">
        <f>SUM(D336:D338)</f>
        <v>4.0199999999999996</v>
      </c>
    </row>
    <row r="337" spans="1:6" x14ac:dyDescent="0.25">
      <c r="A337" s="128"/>
      <c r="B337" s="1" t="s">
        <v>870</v>
      </c>
      <c r="C337" s="1" t="s">
        <v>29</v>
      </c>
      <c r="D337" s="1">
        <v>0.13</v>
      </c>
      <c r="E337" s="126"/>
    </row>
    <row r="338" spans="1:6" x14ac:dyDescent="0.25">
      <c r="A338" s="128"/>
      <c r="B338" s="1" t="s">
        <v>834</v>
      </c>
      <c r="C338" s="1" t="s">
        <v>446</v>
      </c>
      <c r="D338" s="1">
        <v>3.5</v>
      </c>
      <c r="E338" s="126"/>
    </row>
    <row r="339" spans="1:6" x14ac:dyDescent="0.25">
      <c r="A339" s="128" t="s">
        <v>838</v>
      </c>
      <c r="B339" s="1" t="s">
        <v>871</v>
      </c>
      <c r="C339" s="1" t="s">
        <v>13</v>
      </c>
      <c r="D339" s="1">
        <v>0.16500000000000001</v>
      </c>
      <c r="E339" s="126">
        <f>SUM(D339:D344)</f>
        <v>5.6450000000000005</v>
      </c>
    </row>
    <row r="340" spans="1:6" x14ac:dyDescent="0.25">
      <c r="A340" s="128"/>
      <c r="B340" s="1" t="s">
        <v>837</v>
      </c>
      <c r="C340" s="1" t="s">
        <v>29</v>
      </c>
      <c r="D340" s="1">
        <v>0.05</v>
      </c>
      <c r="E340" s="126"/>
    </row>
    <row r="341" spans="1:6" x14ac:dyDescent="0.25">
      <c r="A341" s="128"/>
      <c r="B341" s="1" t="s">
        <v>872</v>
      </c>
      <c r="C341" s="1" t="s">
        <v>11</v>
      </c>
      <c r="D341" s="1">
        <v>0.1</v>
      </c>
      <c r="E341" s="126"/>
    </row>
    <row r="342" spans="1:6" x14ac:dyDescent="0.25">
      <c r="A342" s="128"/>
      <c r="B342" s="1" t="s">
        <v>834</v>
      </c>
      <c r="C342" s="1" t="s">
        <v>446</v>
      </c>
      <c r="D342" s="1">
        <v>3.5</v>
      </c>
      <c r="E342" s="126"/>
    </row>
    <row r="343" spans="1:6" x14ac:dyDescent="0.25">
      <c r="A343" s="128"/>
      <c r="B343" s="1" t="s">
        <v>873</v>
      </c>
      <c r="C343" s="1" t="s">
        <v>166</v>
      </c>
      <c r="D343" s="1">
        <v>0.91500000000000004</v>
      </c>
      <c r="E343" s="126"/>
    </row>
    <row r="344" spans="1:6" x14ac:dyDescent="0.25">
      <c r="A344" s="128"/>
      <c r="B344" s="1" t="s">
        <v>874</v>
      </c>
      <c r="C344" s="1" t="s">
        <v>166</v>
      </c>
      <c r="D344" s="1">
        <v>0.91500000000000004</v>
      </c>
      <c r="E344" s="126"/>
    </row>
    <row r="351" spans="1:6" x14ac:dyDescent="0.25">
      <c r="B351" s="120" t="s">
        <v>839</v>
      </c>
      <c r="C351" s="120"/>
      <c r="D351" s="120"/>
      <c r="E351" s="120"/>
      <c r="F351" s="126" t="s">
        <v>216</v>
      </c>
    </row>
    <row r="352" spans="1:6" x14ac:dyDescent="0.25">
      <c r="B352" s="1" t="s">
        <v>599</v>
      </c>
      <c r="C352" s="1" t="s">
        <v>637</v>
      </c>
      <c r="D352" s="1" t="s">
        <v>638</v>
      </c>
      <c r="E352" s="8" t="s">
        <v>9</v>
      </c>
      <c r="F352" s="126"/>
    </row>
    <row r="353" spans="2:6" x14ac:dyDescent="0.25">
      <c r="B353" s="128" t="s">
        <v>840</v>
      </c>
      <c r="C353" s="1" t="s">
        <v>875</v>
      </c>
      <c r="D353" s="1" t="s">
        <v>11</v>
      </c>
      <c r="E353" s="1">
        <v>1.83</v>
      </c>
      <c r="F353" s="126">
        <f>SUM(E353:E355)</f>
        <v>2.38</v>
      </c>
    </row>
    <row r="354" spans="2:6" x14ac:dyDescent="0.25">
      <c r="B354" s="128"/>
      <c r="C354" s="1" t="s">
        <v>876</v>
      </c>
      <c r="D354" s="1" t="s">
        <v>13</v>
      </c>
      <c r="E354" s="1">
        <v>0.16</v>
      </c>
      <c r="F354" s="126"/>
    </row>
    <row r="355" spans="2:6" x14ac:dyDescent="0.25">
      <c r="B355" s="128"/>
      <c r="C355" s="1" t="s">
        <v>841</v>
      </c>
      <c r="D355" s="1" t="s">
        <v>11</v>
      </c>
      <c r="E355" s="1">
        <v>0.39</v>
      </c>
      <c r="F355" s="126"/>
    </row>
    <row r="356" spans="2:6" x14ac:dyDescent="0.25">
      <c r="B356" s="128" t="s">
        <v>842</v>
      </c>
      <c r="C356" s="1" t="s">
        <v>877</v>
      </c>
      <c r="D356" s="1" t="s">
        <v>171</v>
      </c>
      <c r="E356" s="1">
        <v>0.78</v>
      </c>
      <c r="F356" s="126">
        <f>SUM(E356:E359)</f>
        <v>1.8800000000000001</v>
      </c>
    </row>
    <row r="357" spans="2:6" x14ac:dyDescent="0.25">
      <c r="B357" s="128"/>
      <c r="C357" s="1" t="s">
        <v>878</v>
      </c>
      <c r="D357" s="1" t="s">
        <v>166</v>
      </c>
      <c r="E357" s="1">
        <v>0.93</v>
      </c>
      <c r="F357" s="126"/>
    </row>
    <row r="358" spans="2:6" x14ac:dyDescent="0.25">
      <c r="B358" s="128"/>
      <c r="C358" s="1" t="s">
        <v>843</v>
      </c>
      <c r="D358" s="1" t="s">
        <v>29</v>
      </c>
      <c r="E358" s="1">
        <v>0.12</v>
      </c>
      <c r="F358" s="126"/>
    </row>
    <row r="359" spans="2:6" x14ac:dyDescent="0.25">
      <c r="B359" s="128"/>
      <c r="C359" s="1" t="s">
        <v>879</v>
      </c>
      <c r="D359" s="1" t="s">
        <v>800</v>
      </c>
      <c r="E359" s="1">
        <v>0.05</v>
      </c>
      <c r="F359" s="126"/>
    </row>
    <row r="360" spans="2:6" x14ac:dyDescent="0.25">
      <c r="B360" s="128" t="s">
        <v>844</v>
      </c>
      <c r="C360" s="1" t="s">
        <v>880</v>
      </c>
      <c r="D360" s="1" t="s">
        <v>11</v>
      </c>
      <c r="E360" s="1">
        <v>0.39</v>
      </c>
      <c r="F360" s="126">
        <f>SUM(E360:E363)</f>
        <v>2.5300000000000002</v>
      </c>
    </row>
    <row r="361" spans="2:6" x14ac:dyDescent="0.25">
      <c r="B361" s="128"/>
      <c r="C361" s="1" t="s">
        <v>848</v>
      </c>
      <c r="D361" s="1" t="s">
        <v>29</v>
      </c>
      <c r="E361" s="1">
        <v>0.13</v>
      </c>
      <c r="F361" s="126"/>
    </row>
    <row r="362" spans="2:6" x14ac:dyDescent="0.25">
      <c r="B362" s="128"/>
      <c r="C362" s="1" t="s">
        <v>806</v>
      </c>
      <c r="D362" s="1" t="s">
        <v>11</v>
      </c>
      <c r="E362" s="1">
        <v>1.83</v>
      </c>
      <c r="F362" s="126"/>
    </row>
    <row r="363" spans="2:6" x14ac:dyDescent="0.25">
      <c r="B363" s="128"/>
      <c r="C363" s="1" t="s">
        <v>881</v>
      </c>
      <c r="D363" s="1" t="s">
        <v>166</v>
      </c>
      <c r="E363" s="1">
        <v>0.18</v>
      </c>
      <c r="F363" s="126"/>
    </row>
    <row r="364" spans="2:6" x14ac:dyDescent="0.25">
      <c r="F364" s="33"/>
    </row>
    <row r="365" spans="2:6" x14ac:dyDescent="0.25">
      <c r="F365" s="33"/>
    </row>
    <row r="366" spans="2:6" x14ac:dyDescent="0.25">
      <c r="B366" s="120" t="s">
        <v>850</v>
      </c>
      <c r="C366" s="120"/>
      <c r="D366" s="120"/>
      <c r="E366" s="120"/>
      <c r="F366" s="126" t="s">
        <v>216</v>
      </c>
    </row>
    <row r="367" spans="2:6" x14ac:dyDescent="0.25">
      <c r="B367" s="1" t="s">
        <v>599</v>
      </c>
      <c r="C367" s="1" t="s">
        <v>637</v>
      </c>
      <c r="D367" s="1" t="s">
        <v>638</v>
      </c>
      <c r="E367" s="8" t="s">
        <v>9</v>
      </c>
      <c r="F367" s="126"/>
    </row>
    <row r="368" spans="2:6" x14ac:dyDescent="0.25">
      <c r="B368" s="128" t="s">
        <v>829</v>
      </c>
      <c r="C368" s="1" t="s">
        <v>851</v>
      </c>
      <c r="D368" s="1" t="s">
        <v>458</v>
      </c>
      <c r="E368" s="1">
        <v>3.6</v>
      </c>
      <c r="F368" s="126">
        <f>SUM(E368:E370)</f>
        <v>13.837</v>
      </c>
    </row>
    <row r="369" spans="2:6" x14ac:dyDescent="0.25">
      <c r="B369" s="128"/>
      <c r="C369" s="1" t="s">
        <v>767</v>
      </c>
      <c r="D369" s="1" t="s">
        <v>883</v>
      </c>
      <c r="E369" s="1">
        <v>7.9870000000000001</v>
      </c>
      <c r="F369" s="126"/>
    </row>
    <row r="370" spans="2:6" x14ac:dyDescent="0.25">
      <c r="B370" s="128"/>
      <c r="C370" s="1" t="s">
        <v>884</v>
      </c>
      <c r="D370" s="1" t="s">
        <v>213</v>
      </c>
      <c r="E370" s="1">
        <v>2.25</v>
      </c>
      <c r="F370" s="126"/>
    </row>
    <row r="371" spans="2:6" x14ac:dyDescent="0.25">
      <c r="B371" s="128" t="s">
        <v>852</v>
      </c>
      <c r="C371" s="1" t="s">
        <v>882</v>
      </c>
      <c r="D371" s="1" t="s">
        <v>896</v>
      </c>
      <c r="E371" s="1">
        <v>0.49</v>
      </c>
      <c r="F371" s="126">
        <f>SUM(E371:E374)</f>
        <v>9.3369999999999997</v>
      </c>
    </row>
    <row r="372" spans="2:6" x14ac:dyDescent="0.25">
      <c r="B372" s="128"/>
      <c r="C372" s="1" t="s">
        <v>849</v>
      </c>
      <c r="D372" s="1" t="s">
        <v>897</v>
      </c>
      <c r="E372" s="1">
        <v>0.36</v>
      </c>
      <c r="F372" s="126"/>
    </row>
    <row r="373" spans="2:6" x14ac:dyDescent="0.25">
      <c r="B373" s="128"/>
      <c r="C373" s="1" t="s">
        <v>767</v>
      </c>
      <c r="D373" s="1" t="s">
        <v>883</v>
      </c>
      <c r="E373" s="1">
        <v>7.9870000000000001</v>
      </c>
      <c r="F373" s="126"/>
    </row>
    <row r="374" spans="2:6" x14ac:dyDescent="0.25">
      <c r="B374" s="128"/>
      <c r="C374" s="1" t="s">
        <v>296</v>
      </c>
      <c r="D374" s="1" t="s">
        <v>213</v>
      </c>
      <c r="E374" s="1">
        <v>0.5</v>
      </c>
      <c r="F374" s="126"/>
    </row>
    <row r="375" spans="2:6" x14ac:dyDescent="0.25">
      <c r="B375" s="128" t="s">
        <v>853</v>
      </c>
      <c r="C375" s="1" t="s">
        <v>885</v>
      </c>
      <c r="D375" s="1" t="s">
        <v>13</v>
      </c>
      <c r="E375" s="1">
        <v>0.6</v>
      </c>
      <c r="F375" s="126">
        <f>SUM(E375:E378)</f>
        <v>9.3670000000000009</v>
      </c>
    </row>
    <row r="376" spans="2:6" x14ac:dyDescent="0.25">
      <c r="B376" s="128"/>
      <c r="C376" s="1" t="s">
        <v>899</v>
      </c>
      <c r="D376" s="1" t="s">
        <v>166</v>
      </c>
      <c r="E376" s="1">
        <v>0.28499999999999998</v>
      </c>
      <c r="F376" s="126"/>
    </row>
    <row r="377" spans="2:6" x14ac:dyDescent="0.25">
      <c r="B377" s="128"/>
      <c r="C377" s="1" t="s">
        <v>898</v>
      </c>
      <c r="D377" s="1" t="s">
        <v>166</v>
      </c>
      <c r="E377" s="1">
        <v>0.495</v>
      </c>
      <c r="F377" s="126"/>
    </row>
    <row r="378" spans="2:6" x14ac:dyDescent="0.25">
      <c r="B378" s="128"/>
      <c r="C378" s="1" t="s">
        <v>767</v>
      </c>
      <c r="D378" s="1" t="s">
        <v>883</v>
      </c>
      <c r="E378" s="1">
        <v>7.9870000000000001</v>
      </c>
      <c r="F378" s="126"/>
    </row>
    <row r="379" spans="2:6" x14ac:dyDescent="0.25">
      <c r="B379" s="128" t="s">
        <v>118</v>
      </c>
      <c r="C379" s="1" t="s">
        <v>854</v>
      </c>
      <c r="D379" s="1" t="s">
        <v>458</v>
      </c>
      <c r="E379" s="1">
        <v>3</v>
      </c>
      <c r="F379" s="126">
        <f>SUM(E379:E381)</f>
        <v>11.837</v>
      </c>
    </row>
    <row r="380" spans="2:6" x14ac:dyDescent="0.25">
      <c r="B380" s="128"/>
      <c r="C380" s="1" t="s">
        <v>767</v>
      </c>
      <c r="D380" s="1" t="s">
        <v>883</v>
      </c>
      <c r="E380" s="1">
        <v>7.9870000000000001</v>
      </c>
      <c r="F380" s="126"/>
    </row>
    <row r="381" spans="2:6" x14ac:dyDescent="0.25">
      <c r="B381" s="128"/>
      <c r="C381" s="1" t="s">
        <v>304</v>
      </c>
      <c r="D381" s="1" t="s">
        <v>29</v>
      </c>
      <c r="E381" s="1">
        <v>0.85</v>
      </c>
      <c r="F381" s="126"/>
    </row>
    <row r="382" spans="2:6" x14ac:dyDescent="0.25">
      <c r="F382" s="33"/>
    </row>
    <row r="383" spans="2:6" x14ac:dyDescent="0.25">
      <c r="B383" s="120" t="s">
        <v>900</v>
      </c>
      <c r="C383" s="120"/>
      <c r="D383" s="120"/>
      <c r="E383" s="120"/>
      <c r="F383" s="126" t="s">
        <v>216</v>
      </c>
    </row>
    <row r="384" spans="2:6" x14ac:dyDescent="0.25">
      <c r="B384" s="1" t="s">
        <v>599</v>
      </c>
      <c r="C384" s="1" t="s">
        <v>637</v>
      </c>
      <c r="D384" s="1" t="s">
        <v>638</v>
      </c>
      <c r="E384" s="8" t="s">
        <v>9</v>
      </c>
      <c r="F384" s="126"/>
    </row>
    <row r="385" spans="2:6" x14ac:dyDescent="0.25">
      <c r="B385" s="128" t="s">
        <v>856</v>
      </c>
      <c r="C385" s="1" t="s">
        <v>857</v>
      </c>
      <c r="D385" s="1" t="s">
        <v>165</v>
      </c>
      <c r="E385" s="1">
        <v>4.84</v>
      </c>
      <c r="F385" s="126">
        <f>SUM(E385:E389)</f>
        <v>10.305999999999999</v>
      </c>
    </row>
    <row r="386" spans="2:6" x14ac:dyDescent="0.25">
      <c r="B386" s="128"/>
      <c r="C386" s="1" t="s">
        <v>30</v>
      </c>
      <c r="D386" s="1" t="s">
        <v>357</v>
      </c>
      <c r="E386" s="1">
        <v>0.3</v>
      </c>
      <c r="F386" s="126"/>
    </row>
    <row r="387" spans="2:6" x14ac:dyDescent="0.25">
      <c r="B387" s="128"/>
      <c r="C387" s="1" t="s">
        <v>858</v>
      </c>
      <c r="D387" s="1" t="s">
        <v>13</v>
      </c>
      <c r="E387" s="1">
        <v>1.05</v>
      </c>
      <c r="F387" s="126"/>
    </row>
    <row r="388" spans="2:6" x14ac:dyDescent="0.25">
      <c r="B388" s="128"/>
      <c r="C388" s="1" t="s">
        <v>862</v>
      </c>
      <c r="D388" s="1" t="s">
        <v>458</v>
      </c>
      <c r="E388" s="1">
        <v>2.016</v>
      </c>
      <c r="F388" s="126"/>
    </row>
    <row r="389" spans="2:6" x14ac:dyDescent="0.25">
      <c r="B389" s="128"/>
      <c r="C389" s="1" t="s">
        <v>818</v>
      </c>
      <c r="D389" s="1" t="s">
        <v>168</v>
      </c>
      <c r="E389" s="1">
        <v>2.1</v>
      </c>
      <c r="F389" s="126"/>
    </row>
    <row r="390" spans="2:6" x14ac:dyDescent="0.25">
      <c r="B390" s="128" t="s">
        <v>860</v>
      </c>
      <c r="C390" s="1" t="s">
        <v>857</v>
      </c>
      <c r="D390" s="1" t="s">
        <v>165</v>
      </c>
      <c r="E390" s="1">
        <v>4.84</v>
      </c>
      <c r="F390" s="126">
        <f>SUM(E390:E396)</f>
        <v>13.119</v>
      </c>
    </row>
    <row r="391" spans="2:6" x14ac:dyDescent="0.25">
      <c r="B391" s="128"/>
      <c r="C391" s="1" t="s">
        <v>30</v>
      </c>
      <c r="D391" s="1" t="s">
        <v>357</v>
      </c>
      <c r="E391" s="1">
        <v>0.3</v>
      </c>
      <c r="F391" s="126"/>
    </row>
    <row r="392" spans="2:6" x14ac:dyDescent="0.25">
      <c r="B392" s="128"/>
      <c r="C392" s="1" t="s">
        <v>902</v>
      </c>
      <c r="D392" s="1" t="s">
        <v>168</v>
      </c>
      <c r="E392" s="1">
        <v>2.48</v>
      </c>
      <c r="F392" s="126"/>
    </row>
    <row r="393" spans="2:6" x14ac:dyDescent="0.25">
      <c r="B393" s="128"/>
      <c r="C393" s="1" t="s">
        <v>861</v>
      </c>
      <c r="D393" s="1" t="s">
        <v>29</v>
      </c>
      <c r="E393" s="1">
        <v>0.33300000000000002</v>
      </c>
      <c r="F393" s="126"/>
    </row>
    <row r="394" spans="2:6" x14ac:dyDescent="0.25">
      <c r="B394" s="128"/>
      <c r="C394" s="1" t="s">
        <v>858</v>
      </c>
      <c r="D394" s="1" t="s">
        <v>13</v>
      </c>
      <c r="E394" s="1">
        <v>1.05</v>
      </c>
      <c r="F394" s="126"/>
    </row>
    <row r="395" spans="2:6" x14ac:dyDescent="0.25">
      <c r="B395" s="128"/>
      <c r="C395" s="1" t="s">
        <v>862</v>
      </c>
      <c r="D395" s="1" t="s">
        <v>458</v>
      </c>
      <c r="E395" s="1">
        <v>2.016</v>
      </c>
      <c r="F395" s="126"/>
    </row>
    <row r="396" spans="2:6" x14ac:dyDescent="0.25">
      <c r="B396" s="128"/>
      <c r="C396" s="1" t="s">
        <v>818</v>
      </c>
      <c r="D396" s="1" t="s">
        <v>168</v>
      </c>
      <c r="E396" s="1">
        <v>2.1</v>
      </c>
      <c r="F396" s="126"/>
    </row>
    <row r="401" spans="2:6" x14ac:dyDescent="0.25">
      <c r="B401" s="120" t="s">
        <v>855</v>
      </c>
      <c r="C401" s="120"/>
      <c r="D401" s="120"/>
      <c r="E401" s="120"/>
      <c r="F401" s="126" t="s">
        <v>216</v>
      </c>
    </row>
    <row r="402" spans="2:6" x14ac:dyDescent="0.25">
      <c r="B402" s="1" t="s">
        <v>599</v>
      </c>
      <c r="C402" s="1" t="s">
        <v>637</v>
      </c>
      <c r="D402" s="1" t="s">
        <v>638</v>
      </c>
      <c r="E402" s="8" t="s">
        <v>9</v>
      </c>
      <c r="F402" s="126"/>
    </row>
    <row r="403" spans="2:6" x14ac:dyDescent="0.25">
      <c r="B403" s="128" t="s">
        <v>856</v>
      </c>
      <c r="C403" s="1" t="s">
        <v>857</v>
      </c>
      <c r="D403" s="1" t="s">
        <v>165</v>
      </c>
      <c r="E403" s="1">
        <v>4.84</v>
      </c>
      <c r="F403" s="126">
        <f>SUM(E403:E408)</f>
        <v>12.786</v>
      </c>
    </row>
    <row r="404" spans="2:6" x14ac:dyDescent="0.25">
      <c r="B404" s="128"/>
      <c r="C404" s="1" t="s">
        <v>30</v>
      </c>
      <c r="D404" s="1" t="s">
        <v>357</v>
      </c>
      <c r="E404" s="1">
        <v>0.3</v>
      </c>
      <c r="F404" s="126"/>
    </row>
    <row r="405" spans="2:6" x14ac:dyDescent="0.25">
      <c r="B405" s="128"/>
      <c r="C405" s="1" t="s">
        <v>902</v>
      </c>
      <c r="D405" s="1" t="s">
        <v>168</v>
      </c>
      <c r="E405" s="1">
        <v>2.48</v>
      </c>
      <c r="F405" s="126"/>
    </row>
    <row r="406" spans="2:6" x14ac:dyDescent="0.25">
      <c r="B406" s="128"/>
      <c r="C406" s="1" t="s">
        <v>858</v>
      </c>
      <c r="D406" s="1" t="s">
        <v>13</v>
      </c>
      <c r="E406" s="1">
        <v>1.05</v>
      </c>
      <c r="F406" s="126"/>
    </row>
    <row r="407" spans="2:6" x14ac:dyDescent="0.25">
      <c r="B407" s="128"/>
      <c r="C407" s="1" t="s">
        <v>862</v>
      </c>
      <c r="D407" s="1" t="s">
        <v>458</v>
      </c>
      <c r="E407" s="1">
        <v>2.016</v>
      </c>
      <c r="F407" s="126"/>
    </row>
    <row r="408" spans="2:6" x14ac:dyDescent="0.25">
      <c r="B408" s="128"/>
      <c r="C408" s="1" t="s">
        <v>818</v>
      </c>
      <c r="D408" s="1" t="s">
        <v>168</v>
      </c>
      <c r="E408" s="1">
        <v>2.1</v>
      </c>
      <c r="F408" s="126"/>
    </row>
    <row r="409" spans="2:6" x14ac:dyDescent="0.25">
      <c r="F409" s="33"/>
    </row>
    <row r="410" spans="2:6" x14ac:dyDescent="0.25">
      <c r="F410" s="33"/>
    </row>
    <row r="411" spans="2:6" x14ac:dyDescent="0.25">
      <c r="B411" s="120" t="s">
        <v>886</v>
      </c>
      <c r="C411" s="120"/>
      <c r="D411" s="120"/>
      <c r="E411" s="120"/>
      <c r="F411" s="126" t="s">
        <v>216</v>
      </c>
    </row>
    <row r="412" spans="2:6" x14ac:dyDescent="0.25">
      <c r="B412" s="1" t="s">
        <v>599</v>
      </c>
      <c r="C412" s="1" t="s">
        <v>637</v>
      </c>
      <c r="D412" s="1" t="s">
        <v>638</v>
      </c>
      <c r="E412" s="8" t="s">
        <v>9</v>
      </c>
      <c r="F412" s="126"/>
    </row>
    <row r="413" spans="2:6" x14ac:dyDescent="0.25">
      <c r="B413" s="28" t="s">
        <v>887</v>
      </c>
      <c r="C413" s="1" t="s">
        <v>886</v>
      </c>
      <c r="D413" s="1" t="s">
        <v>895</v>
      </c>
      <c r="E413" s="1">
        <v>1.6020000000000001</v>
      </c>
      <c r="F413" s="30">
        <v>1.6020000000000001</v>
      </c>
    </row>
    <row r="414" spans="2:6" x14ac:dyDescent="0.25">
      <c r="B414" s="28" t="s">
        <v>889</v>
      </c>
      <c r="C414" s="1" t="s">
        <v>889</v>
      </c>
      <c r="D414" s="1" t="s">
        <v>890</v>
      </c>
      <c r="E414" s="1">
        <v>0.25</v>
      </c>
      <c r="F414" s="30">
        <v>0.25</v>
      </c>
    </row>
    <row r="415" spans="2:6" x14ac:dyDescent="0.25">
      <c r="B415" s="128" t="s">
        <v>891</v>
      </c>
      <c r="C415" s="1" t="s">
        <v>886</v>
      </c>
      <c r="D415" s="1" t="s">
        <v>895</v>
      </c>
      <c r="E415" s="1">
        <v>1.6020000000000001</v>
      </c>
      <c r="F415" s="126">
        <f>SUM(E415:E416)</f>
        <v>4.1619999999999999</v>
      </c>
    </row>
    <row r="416" spans="2:6" x14ac:dyDescent="0.25">
      <c r="B416" s="128"/>
      <c r="C416" s="1" t="s">
        <v>892</v>
      </c>
      <c r="D416" s="1" t="s">
        <v>893</v>
      </c>
      <c r="E416" s="1">
        <v>2.56</v>
      </c>
      <c r="F416" s="126"/>
    </row>
    <row r="417" spans="2:6" x14ac:dyDescent="0.25">
      <c r="B417" s="128" t="s">
        <v>894</v>
      </c>
      <c r="C417" s="1" t="s">
        <v>886</v>
      </c>
      <c r="D417" s="1" t="s">
        <v>895</v>
      </c>
      <c r="E417" s="1">
        <v>1.6020000000000001</v>
      </c>
      <c r="F417" s="126">
        <f>SUM(E417:E418)</f>
        <v>4.4020000000000001</v>
      </c>
    </row>
    <row r="418" spans="2:6" x14ac:dyDescent="0.25">
      <c r="B418" s="128"/>
      <c r="C418" s="1" t="s">
        <v>83</v>
      </c>
      <c r="D418" s="1" t="s">
        <v>187</v>
      </c>
      <c r="E418" s="1">
        <v>2.8</v>
      </c>
      <c r="F418" s="126"/>
    </row>
    <row r="419" spans="2:6" x14ac:dyDescent="0.25">
      <c r="F419" s="33"/>
    </row>
    <row r="420" spans="2:6" x14ac:dyDescent="0.25">
      <c r="B420" s="120" t="s">
        <v>904</v>
      </c>
      <c r="C420" s="120"/>
      <c r="D420" s="120"/>
      <c r="E420" s="120"/>
      <c r="F420" s="126" t="s">
        <v>216</v>
      </c>
    </row>
    <row r="421" spans="2:6" x14ac:dyDescent="0.25">
      <c r="B421" s="1" t="s">
        <v>599</v>
      </c>
      <c r="C421" s="1" t="s">
        <v>637</v>
      </c>
      <c r="D421" s="1" t="s">
        <v>638</v>
      </c>
      <c r="E421" s="8" t="s">
        <v>9</v>
      </c>
      <c r="F421" s="126"/>
    </row>
    <row r="422" spans="2:6" x14ac:dyDescent="0.25">
      <c r="B422" s="128" t="s">
        <v>905</v>
      </c>
      <c r="C422" s="1" t="s">
        <v>635</v>
      </c>
      <c r="D422" s="1" t="s">
        <v>17</v>
      </c>
      <c r="E422" s="1">
        <v>0.504</v>
      </c>
      <c r="F422" s="126">
        <f>SUM(E422:E424)</f>
        <v>1.1639999999999999</v>
      </c>
    </row>
    <row r="423" spans="2:6" x14ac:dyDescent="0.25">
      <c r="B423" s="128"/>
      <c r="C423" s="1" t="s">
        <v>232</v>
      </c>
      <c r="D423" s="1" t="s">
        <v>14</v>
      </c>
      <c r="E423" s="1">
        <v>0.21</v>
      </c>
      <c r="F423" s="126"/>
    </row>
    <row r="424" spans="2:6" x14ac:dyDescent="0.25">
      <c r="B424" s="128"/>
      <c r="C424" s="1" t="s">
        <v>906</v>
      </c>
      <c r="D424" s="1" t="s">
        <v>244</v>
      </c>
      <c r="E424" s="1">
        <v>0.45</v>
      </c>
      <c r="F424" s="126"/>
    </row>
    <row r="425" spans="2:6" x14ac:dyDescent="0.25">
      <c r="B425" s="128" t="s">
        <v>907</v>
      </c>
      <c r="C425" s="1" t="s">
        <v>635</v>
      </c>
      <c r="D425" s="1" t="s">
        <v>17</v>
      </c>
      <c r="E425" s="1">
        <v>0.504</v>
      </c>
      <c r="F425" s="126">
        <f>SUM(E425:E428)</f>
        <v>3.0140000000000002</v>
      </c>
    </row>
    <row r="426" spans="2:6" x14ac:dyDescent="0.25">
      <c r="B426" s="128"/>
      <c r="C426" s="1" t="s">
        <v>232</v>
      </c>
      <c r="D426" s="1" t="s">
        <v>14</v>
      </c>
      <c r="E426" s="1">
        <v>0.21</v>
      </c>
      <c r="F426" s="126"/>
    </row>
    <row r="427" spans="2:6" x14ac:dyDescent="0.25">
      <c r="B427" s="128"/>
      <c r="C427" s="1" t="s">
        <v>906</v>
      </c>
      <c r="D427" s="1" t="s">
        <v>244</v>
      </c>
      <c r="E427" s="1">
        <v>0.45</v>
      </c>
      <c r="F427" s="126"/>
    </row>
    <row r="428" spans="2:6" x14ac:dyDescent="0.25">
      <c r="B428" s="128"/>
      <c r="C428" s="1" t="s">
        <v>628</v>
      </c>
      <c r="D428" s="1" t="s">
        <v>10</v>
      </c>
      <c r="E428" s="1">
        <v>1.85</v>
      </c>
      <c r="F428" s="126"/>
    </row>
    <row r="429" spans="2:6" x14ac:dyDescent="0.25">
      <c r="B429" s="128" t="s">
        <v>908</v>
      </c>
      <c r="C429" s="1" t="s">
        <v>635</v>
      </c>
      <c r="D429" s="1" t="s">
        <v>17</v>
      </c>
      <c r="E429" s="1">
        <v>0.504</v>
      </c>
      <c r="F429" s="126">
        <f>SUM(E429:E432)</f>
        <v>1.8140000000000001</v>
      </c>
    </row>
    <row r="430" spans="2:6" x14ac:dyDescent="0.25">
      <c r="B430" s="128"/>
      <c r="C430" s="1" t="s">
        <v>232</v>
      </c>
      <c r="D430" s="1" t="s">
        <v>14</v>
      </c>
      <c r="E430" s="1">
        <v>0.21</v>
      </c>
      <c r="F430" s="126"/>
    </row>
    <row r="431" spans="2:6" x14ac:dyDescent="0.25">
      <c r="B431" s="128"/>
      <c r="C431" s="1" t="s">
        <v>906</v>
      </c>
      <c r="D431" s="1" t="s">
        <v>244</v>
      </c>
      <c r="E431" s="1">
        <v>0.45</v>
      </c>
      <c r="F431" s="126"/>
    </row>
    <row r="432" spans="2:6" x14ac:dyDescent="0.25">
      <c r="B432" s="128"/>
      <c r="C432" s="1" t="s">
        <v>909</v>
      </c>
      <c r="D432" s="1" t="s">
        <v>217</v>
      </c>
      <c r="E432" s="1">
        <v>0.65</v>
      </c>
      <c r="F432" s="126"/>
    </row>
    <row r="433" spans="2:6" x14ac:dyDescent="0.25">
      <c r="B433" s="128" t="s">
        <v>910</v>
      </c>
      <c r="C433" s="1" t="s">
        <v>635</v>
      </c>
      <c r="D433" s="1" t="s">
        <v>17</v>
      </c>
      <c r="E433" s="1">
        <v>0.504</v>
      </c>
      <c r="F433" s="126">
        <f>SUM(E433:E436)</f>
        <v>1.8140000000000001</v>
      </c>
    </row>
    <row r="434" spans="2:6" x14ac:dyDescent="0.25">
      <c r="B434" s="128"/>
      <c r="C434" s="1" t="s">
        <v>232</v>
      </c>
      <c r="D434" s="1" t="s">
        <v>14</v>
      </c>
      <c r="E434" s="1">
        <v>0.21</v>
      </c>
      <c r="F434" s="126"/>
    </row>
    <row r="435" spans="2:6" x14ac:dyDescent="0.25">
      <c r="B435" s="128"/>
      <c r="C435" s="1" t="s">
        <v>906</v>
      </c>
      <c r="D435" s="1" t="s">
        <v>244</v>
      </c>
      <c r="E435" s="1">
        <v>0.45</v>
      </c>
      <c r="F435" s="126"/>
    </row>
    <row r="436" spans="2:6" x14ac:dyDescent="0.25">
      <c r="B436" s="128"/>
      <c r="C436" s="1" t="s">
        <v>911</v>
      </c>
      <c r="D436" s="1" t="s">
        <v>217</v>
      </c>
      <c r="E436" s="1">
        <v>0.65</v>
      </c>
      <c r="F436" s="126"/>
    </row>
    <row r="437" spans="2:6" x14ac:dyDescent="0.25">
      <c r="B437" s="128" t="s">
        <v>912</v>
      </c>
      <c r="C437" s="1" t="s">
        <v>635</v>
      </c>
      <c r="D437" s="1" t="s">
        <v>17</v>
      </c>
      <c r="E437" s="1">
        <v>0.504</v>
      </c>
      <c r="F437" s="126">
        <f>SUM(E437:E440)</f>
        <v>1.8140000000000001</v>
      </c>
    </row>
    <row r="438" spans="2:6" x14ac:dyDescent="0.25">
      <c r="B438" s="128"/>
      <c r="C438" s="1" t="s">
        <v>232</v>
      </c>
      <c r="D438" s="1" t="s">
        <v>14</v>
      </c>
      <c r="E438" s="1">
        <v>0.21</v>
      </c>
      <c r="F438" s="126"/>
    </row>
    <row r="439" spans="2:6" x14ac:dyDescent="0.25">
      <c r="B439" s="128"/>
      <c r="C439" s="1" t="s">
        <v>906</v>
      </c>
      <c r="D439" s="1" t="s">
        <v>244</v>
      </c>
      <c r="E439" s="1">
        <v>0.45</v>
      </c>
      <c r="F439" s="126"/>
    </row>
    <row r="440" spans="2:6" x14ac:dyDescent="0.25">
      <c r="B440" s="128"/>
      <c r="C440" s="1" t="s">
        <v>913</v>
      </c>
      <c r="D440" s="1"/>
      <c r="E440" s="1">
        <v>0.65</v>
      </c>
      <c r="F440" s="126"/>
    </row>
    <row r="441" spans="2:6" x14ac:dyDescent="0.25">
      <c r="B441" s="128" t="s">
        <v>914</v>
      </c>
      <c r="C441" s="1" t="s">
        <v>635</v>
      </c>
      <c r="D441" s="1" t="s">
        <v>17</v>
      </c>
      <c r="E441" s="1">
        <v>0.504</v>
      </c>
      <c r="F441" s="126">
        <f>SUM(E441:E444)</f>
        <v>4.3639999999999999</v>
      </c>
    </row>
    <row r="442" spans="2:6" x14ac:dyDescent="0.25">
      <c r="B442" s="128"/>
      <c r="C442" s="1" t="s">
        <v>232</v>
      </c>
      <c r="D442" s="1" t="s">
        <v>14</v>
      </c>
      <c r="E442" s="1">
        <v>0.21</v>
      </c>
      <c r="F442" s="126"/>
    </row>
    <row r="443" spans="2:6" x14ac:dyDescent="0.25">
      <c r="B443" s="128"/>
      <c r="C443" s="1" t="s">
        <v>906</v>
      </c>
      <c r="D443" s="1" t="s">
        <v>244</v>
      </c>
      <c r="E443" s="1">
        <v>0.45</v>
      </c>
      <c r="F443" s="126"/>
    </row>
    <row r="444" spans="2:6" x14ac:dyDescent="0.25">
      <c r="B444" s="128"/>
      <c r="C444" s="1" t="s">
        <v>361</v>
      </c>
      <c r="D444" s="1" t="s">
        <v>292</v>
      </c>
      <c r="E444" s="1">
        <v>3.2</v>
      </c>
      <c r="F444" s="126"/>
    </row>
    <row r="451" spans="2:6" x14ac:dyDescent="0.25">
      <c r="B451" s="72" t="s">
        <v>405</v>
      </c>
      <c r="C451" s="1" t="s">
        <v>0</v>
      </c>
      <c r="D451" s="1" t="s">
        <v>395</v>
      </c>
      <c r="E451" s="1" t="s">
        <v>9</v>
      </c>
      <c r="F451" s="86" t="s">
        <v>404</v>
      </c>
    </row>
    <row r="452" spans="2:6" x14ac:dyDescent="0.25">
      <c r="B452" s="73"/>
      <c r="C452" s="1" t="s">
        <v>396</v>
      </c>
      <c r="D452" s="1" t="s">
        <v>333</v>
      </c>
      <c r="E452" s="1">
        <v>9</v>
      </c>
      <c r="F452" s="86"/>
    </row>
    <row r="453" spans="2:6" x14ac:dyDescent="0.25">
      <c r="B453" s="73"/>
      <c r="C453" s="1" t="s">
        <v>397</v>
      </c>
      <c r="D453" s="1" t="s">
        <v>10</v>
      </c>
      <c r="E453" s="1">
        <v>4.5999999999999996</v>
      </c>
      <c r="F453" s="86"/>
    </row>
    <row r="454" spans="2:6" x14ac:dyDescent="0.25">
      <c r="B454" s="73"/>
      <c r="C454" s="1" t="s">
        <v>398</v>
      </c>
      <c r="D454" s="1" t="s">
        <v>10</v>
      </c>
      <c r="E454" s="1">
        <v>5.2</v>
      </c>
      <c r="F454" s="86"/>
    </row>
    <row r="455" spans="2:6" x14ac:dyDescent="0.25">
      <c r="B455" s="73"/>
      <c r="C455" s="1" t="s">
        <v>399</v>
      </c>
      <c r="D455" s="1" t="s">
        <v>10</v>
      </c>
      <c r="E455" s="1">
        <v>7</v>
      </c>
      <c r="F455" s="86"/>
    </row>
    <row r="456" spans="2:6" x14ac:dyDescent="0.25">
      <c r="B456" s="73"/>
      <c r="C456" s="1" t="s">
        <v>5</v>
      </c>
      <c r="D456" s="1" t="s">
        <v>10</v>
      </c>
      <c r="E456" s="1">
        <v>3.7</v>
      </c>
      <c r="F456" s="86"/>
    </row>
    <row r="457" spans="2:6" x14ac:dyDescent="0.25">
      <c r="B457" s="73"/>
      <c r="C457" s="1" t="s">
        <v>400</v>
      </c>
      <c r="D457" s="1" t="s">
        <v>10</v>
      </c>
      <c r="E457" s="1">
        <v>3</v>
      </c>
      <c r="F457" s="86"/>
    </row>
    <row r="458" spans="2:6" x14ac:dyDescent="0.25">
      <c r="B458" s="73"/>
      <c r="C458" s="1" t="s">
        <v>401</v>
      </c>
      <c r="D458" s="1" t="s">
        <v>10</v>
      </c>
      <c r="E458" s="1">
        <v>2.5</v>
      </c>
      <c r="F458" s="86"/>
    </row>
    <row r="459" spans="2:6" x14ac:dyDescent="0.25">
      <c r="B459" s="73"/>
      <c r="C459" s="1" t="s">
        <v>402</v>
      </c>
      <c r="D459" s="1" t="s">
        <v>10</v>
      </c>
      <c r="E459" s="1">
        <v>0.7</v>
      </c>
      <c r="F459" s="86"/>
    </row>
    <row r="460" spans="2:6" x14ac:dyDescent="0.25">
      <c r="B460" s="73"/>
      <c r="C460" s="1" t="s">
        <v>30</v>
      </c>
      <c r="D460" s="1" t="s">
        <v>333</v>
      </c>
      <c r="E460" s="1">
        <v>12</v>
      </c>
      <c r="F460" s="86"/>
    </row>
    <row r="461" spans="2:6" x14ac:dyDescent="0.25">
      <c r="B461" s="73"/>
      <c r="C461" s="1" t="s">
        <v>403</v>
      </c>
      <c r="D461" s="1" t="s">
        <v>10</v>
      </c>
      <c r="E461" s="1">
        <v>2.7</v>
      </c>
      <c r="F461" s="86"/>
    </row>
    <row r="462" spans="2:6" x14ac:dyDescent="0.25">
      <c r="B462" s="50" t="s">
        <v>199</v>
      </c>
      <c r="C462" s="50"/>
      <c r="D462" s="50"/>
      <c r="E462" s="7">
        <f>SUM(E452:E461)</f>
        <v>50.400000000000006</v>
      </c>
      <c r="F462" s="86"/>
    </row>
    <row r="463" spans="2:6" x14ac:dyDescent="0.25">
      <c r="B463" s="56" t="s">
        <v>406</v>
      </c>
      <c r="C463" s="56"/>
      <c r="D463" s="56"/>
      <c r="E463" s="56"/>
      <c r="F463" s="1" t="s">
        <v>407</v>
      </c>
    </row>
    <row r="467" spans="2:5" x14ac:dyDescent="0.25">
      <c r="B467" s="72" t="s">
        <v>818</v>
      </c>
      <c r="C467" s="1" t="s">
        <v>0</v>
      </c>
      <c r="D467" s="1" t="s">
        <v>202</v>
      </c>
      <c r="E467" s="1" t="s">
        <v>9</v>
      </c>
    </row>
    <row r="468" spans="2:5" x14ac:dyDescent="0.25">
      <c r="B468" s="73"/>
      <c r="C468" s="1" t="s">
        <v>819</v>
      </c>
      <c r="D468" s="1" t="s">
        <v>12</v>
      </c>
      <c r="E468" s="1">
        <v>0.86</v>
      </c>
    </row>
    <row r="469" spans="2:5" x14ac:dyDescent="0.25">
      <c r="B469" s="73"/>
      <c r="C469" s="1" t="s">
        <v>398</v>
      </c>
      <c r="D469" s="1" t="s">
        <v>29</v>
      </c>
      <c r="E469" s="1">
        <v>0.54</v>
      </c>
    </row>
    <row r="470" spans="2:5" x14ac:dyDescent="0.25">
      <c r="B470" s="73"/>
      <c r="C470" s="1" t="s">
        <v>399</v>
      </c>
      <c r="D470" s="1" t="s">
        <v>29</v>
      </c>
      <c r="E470" s="1">
        <v>0.7</v>
      </c>
    </row>
    <row r="471" spans="2:5" x14ac:dyDescent="0.25">
      <c r="B471" s="73"/>
      <c r="C471" s="1"/>
      <c r="D471" s="1"/>
      <c r="E471" s="1"/>
    </row>
    <row r="472" spans="2:5" x14ac:dyDescent="0.25">
      <c r="B472" s="73"/>
      <c r="C472" s="1"/>
      <c r="D472" s="1"/>
      <c r="E472" s="1"/>
    </row>
    <row r="473" spans="2:5" x14ac:dyDescent="0.25">
      <c r="B473" s="50"/>
      <c r="C473" s="50"/>
      <c r="D473" s="50"/>
      <c r="E473" s="7">
        <f>SUM(E468:E472)</f>
        <v>2.0999999999999996</v>
      </c>
    </row>
    <row r="476" spans="2:5" x14ac:dyDescent="0.25">
      <c r="B476" s="72" t="s">
        <v>767</v>
      </c>
      <c r="C476" s="1" t="s">
        <v>0</v>
      </c>
      <c r="D476" s="1" t="s">
        <v>202</v>
      </c>
      <c r="E476" s="1" t="s">
        <v>9</v>
      </c>
    </row>
    <row r="477" spans="2:5" x14ac:dyDescent="0.25">
      <c r="B477" s="73"/>
      <c r="C477" s="1" t="s">
        <v>232</v>
      </c>
      <c r="D477" s="1" t="s">
        <v>820</v>
      </c>
      <c r="E477" s="1">
        <v>4.2</v>
      </c>
    </row>
    <row r="478" spans="2:5" x14ac:dyDescent="0.25">
      <c r="B478" s="73"/>
      <c r="C478" s="1" t="s">
        <v>767</v>
      </c>
      <c r="D478" s="1" t="s">
        <v>515</v>
      </c>
      <c r="E478" s="1">
        <v>20</v>
      </c>
    </row>
    <row r="479" spans="2:5" x14ac:dyDescent="0.25">
      <c r="B479" s="73"/>
      <c r="C479" s="1"/>
      <c r="D479" s="1"/>
      <c r="E479" s="1"/>
    </row>
    <row r="480" spans="2:5" x14ac:dyDescent="0.25">
      <c r="B480" s="73"/>
      <c r="C480" s="1"/>
      <c r="D480" s="1"/>
      <c r="E480" s="1"/>
    </row>
    <row r="481" spans="2:5" x14ac:dyDescent="0.25">
      <c r="B481" s="73"/>
      <c r="C481" s="1"/>
      <c r="D481" s="1"/>
      <c r="E481" s="1"/>
    </row>
    <row r="482" spans="2:5" x14ac:dyDescent="0.25">
      <c r="B482" s="50"/>
      <c r="C482" s="50"/>
      <c r="D482" s="50"/>
      <c r="E482" s="7">
        <f>SUM(E477:E481)</f>
        <v>24.2</v>
      </c>
    </row>
    <row r="485" spans="2:5" x14ac:dyDescent="0.25">
      <c r="B485" s="128" t="s">
        <v>901</v>
      </c>
      <c r="C485" s="1" t="s">
        <v>795</v>
      </c>
      <c r="D485" s="1" t="s">
        <v>515</v>
      </c>
      <c r="E485" s="1">
        <v>21</v>
      </c>
    </row>
    <row r="486" spans="2:5" x14ac:dyDescent="0.25">
      <c r="B486" s="128"/>
      <c r="C486" s="1" t="s">
        <v>232</v>
      </c>
      <c r="D486" s="1" t="s">
        <v>532</v>
      </c>
      <c r="E486" s="1">
        <v>1.4</v>
      </c>
    </row>
    <row r="487" spans="2:5" x14ac:dyDescent="0.25">
      <c r="B487" s="132" t="s">
        <v>216</v>
      </c>
      <c r="C487" s="132"/>
      <c r="D487" s="132"/>
      <c r="E487" s="25">
        <f>SUM(E485:E486)</f>
        <v>22.4</v>
      </c>
    </row>
    <row r="492" spans="2:5" x14ac:dyDescent="0.25">
      <c r="B492" s="128" t="s">
        <v>887</v>
      </c>
      <c r="C492" s="1" t="s">
        <v>886</v>
      </c>
      <c r="D492" s="1" t="s">
        <v>165</v>
      </c>
      <c r="E492" s="1">
        <v>5.2</v>
      </c>
    </row>
    <row r="493" spans="2:5" x14ac:dyDescent="0.25">
      <c r="B493" s="128"/>
      <c r="C493" s="1" t="s">
        <v>888</v>
      </c>
      <c r="D493" s="1" t="s">
        <v>170</v>
      </c>
      <c r="E493" s="1">
        <v>0.9</v>
      </c>
    </row>
    <row r="494" spans="2:5" x14ac:dyDescent="0.25">
      <c r="B494" s="128"/>
      <c r="C494" s="1" t="s">
        <v>331</v>
      </c>
      <c r="D494" s="1" t="s">
        <v>515</v>
      </c>
      <c r="E494" s="1">
        <v>2.8</v>
      </c>
    </row>
    <row r="495" spans="2:5" x14ac:dyDescent="0.25">
      <c r="B495" s="132" t="s">
        <v>216</v>
      </c>
      <c r="C495" s="132"/>
      <c r="D495" s="132"/>
      <c r="E495" s="25">
        <f>SUM(E492:E494)</f>
        <v>8.9</v>
      </c>
    </row>
  </sheetData>
  <mergeCells count="208">
    <mergeCell ref="A216:A219"/>
    <mergeCell ref="A220:A223"/>
    <mergeCell ref="A224:A227"/>
    <mergeCell ref="A228:A231"/>
    <mergeCell ref="A251:D251"/>
    <mergeCell ref="F451:F462"/>
    <mergeCell ref="B462:D462"/>
    <mergeCell ref="B463:E463"/>
    <mergeCell ref="B467:B472"/>
    <mergeCell ref="A330:D330"/>
    <mergeCell ref="A332:A335"/>
    <mergeCell ref="A336:A338"/>
    <mergeCell ref="A339:A344"/>
    <mergeCell ref="F351:F352"/>
    <mergeCell ref="F366:F367"/>
    <mergeCell ref="E262:E266"/>
    <mergeCell ref="E267:E271"/>
    <mergeCell ref="E272:E276"/>
    <mergeCell ref="E277:E281"/>
    <mergeCell ref="E282:E285"/>
    <mergeCell ref="E251:E252"/>
    <mergeCell ref="E224:E227"/>
    <mergeCell ref="E228:E231"/>
    <mergeCell ref="E253:E256"/>
    <mergeCell ref="B473:D473"/>
    <mergeCell ref="F441:F444"/>
    <mergeCell ref="F437:F440"/>
    <mergeCell ref="F433:F436"/>
    <mergeCell ref="F429:F432"/>
    <mergeCell ref="F425:F428"/>
    <mergeCell ref="F375:F378"/>
    <mergeCell ref="F379:F381"/>
    <mergeCell ref="F385:F389"/>
    <mergeCell ref="F390:F396"/>
    <mergeCell ref="F403:F408"/>
    <mergeCell ref="F383:F384"/>
    <mergeCell ref="F401:F402"/>
    <mergeCell ref="F411:F412"/>
    <mergeCell ref="B420:E420"/>
    <mergeCell ref="B422:B424"/>
    <mergeCell ref="B495:D495"/>
    <mergeCell ref="A201:D201"/>
    <mergeCell ref="A203:A207"/>
    <mergeCell ref="A208:A211"/>
    <mergeCell ref="A212:A215"/>
    <mergeCell ref="B451:B461"/>
    <mergeCell ref="A130:A133"/>
    <mergeCell ref="A135:D135"/>
    <mergeCell ref="A137:A138"/>
    <mergeCell ref="A139:A140"/>
    <mergeCell ref="A141:A142"/>
    <mergeCell ref="A160:D160"/>
    <mergeCell ref="A162:A165"/>
    <mergeCell ref="A166:A172"/>
    <mergeCell ref="A143:A145"/>
    <mergeCell ref="A151:D151"/>
    <mergeCell ref="A153:A155"/>
    <mergeCell ref="A156:A158"/>
    <mergeCell ref="B476:B481"/>
    <mergeCell ref="B482:D482"/>
    <mergeCell ref="A282:A285"/>
    <mergeCell ref="A267:A271"/>
    <mergeCell ref="A173:A179"/>
    <mergeCell ref="A272:A276"/>
    <mergeCell ref="E52:E54"/>
    <mergeCell ref="E58:E59"/>
    <mergeCell ref="E60:E62"/>
    <mergeCell ref="E63:E65"/>
    <mergeCell ref="A60:A62"/>
    <mergeCell ref="E73:E74"/>
    <mergeCell ref="E118:E119"/>
    <mergeCell ref="E135:E136"/>
    <mergeCell ref="E151:E152"/>
    <mergeCell ref="A90:A92"/>
    <mergeCell ref="A93:A95"/>
    <mergeCell ref="A108:A116"/>
    <mergeCell ref="A120:A121"/>
    <mergeCell ref="A122:A123"/>
    <mergeCell ref="A124:A126"/>
    <mergeCell ref="C102:D102"/>
    <mergeCell ref="A101:D101"/>
    <mergeCell ref="A87:A89"/>
    <mergeCell ref="A56:D56"/>
    <mergeCell ref="E93:E95"/>
    <mergeCell ref="E120:E121"/>
    <mergeCell ref="E122:E123"/>
    <mergeCell ref="E124:E126"/>
    <mergeCell ref="E130:E133"/>
    <mergeCell ref="A51:D51"/>
    <mergeCell ref="A63:A65"/>
    <mergeCell ref="A58:A59"/>
    <mergeCell ref="A33:A34"/>
    <mergeCell ref="A52:A54"/>
    <mergeCell ref="A317:A319"/>
    <mergeCell ref="A320:A323"/>
    <mergeCell ref="A324:A328"/>
    <mergeCell ref="A301:D301"/>
    <mergeCell ref="A303:A305"/>
    <mergeCell ref="A306:A310"/>
    <mergeCell ref="A311:A313"/>
    <mergeCell ref="A314:A316"/>
    <mergeCell ref="A78:A80"/>
    <mergeCell ref="A84:A86"/>
    <mergeCell ref="A81:A83"/>
    <mergeCell ref="A66:A68"/>
    <mergeCell ref="A69:A71"/>
    <mergeCell ref="A75:A77"/>
    <mergeCell ref="A73:D73"/>
    <mergeCell ref="A277:A281"/>
    <mergeCell ref="A253:A256"/>
    <mergeCell ref="A257:A261"/>
    <mergeCell ref="A262:A266"/>
    <mergeCell ref="A2:D2"/>
    <mergeCell ref="A10:A11"/>
    <mergeCell ref="A21:A24"/>
    <mergeCell ref="A30:A31"/>
    <mergeCell ref="A5:A6"/>
    <mergeCell ref="A7:A9"/>
    <mergeCell ref="A12:A14"/>
    <mergeCell ref="A15:A16"/>
    <mergeCell ref="A17:A20"/>
    <mergeCell ref="A27:D27"/>
    <mergeCell ref="E2:E3"/>
    <mergeCell ref="E12:E14"/>
    <mergeCell ref="E15:E16"/>
    <mergeCell ref="E17:E20"/>
    <mergeCell ref="E21:E24"/>
    <mergeCell ref="E33:E34"/>
    <mergeCell ref="E30:E31"/>
    <mergeCell ref="E5:E6"/>
    <mergeCell ref="E7:E9"/>
    <mergeCell ref="E10:E11"/>
    <mergeCell ref="B492:B494"/>
    <mergeCell ref="B415:B416"/>
    <mergeCell ref="B417:B418"/>
    <mergeCell ref="E220:E223"/>
    <mergeCell ref="B390:B396"/>
    <mergeCell ref="B401:E401"/>
    <mergeCell ref="B403:B408"/>
    <mergeCell ref="B411:E411"/>
    <mergeCell ref="B371:B374"/>
    <mergeCell ref="B375:B378"/>
    <mergeCell ref="B379:B381"/>
    <mergeCell ref="B383:E383"/>
    <mergeCell ref="B385:B389"/>
    <mergeCell ref="B351:E351"/>
    <mergeCell ref="B353:B355"/>
    <mergeCell ref="B356:B359"/>
    <mergeCell ref="B360:B363"/>
    <mergeCell ref="B425:B428"/>
    <mergeCell ref="B429:B432"/>
    <mergeCell ref="B433:B436"/>
    <mergeCell ref="B437:B440"/>
    <mergeCell ref="B441:B444"/>
    <mergeCell ref="B485:B486"/>
    <mergeCell ref="B487:D487"/>
    <mergeCell ref="E66:E68"/>
    <mergeCell ref="E69:E71"/>
    <mergeCell ref="D26:E26"/>
    <mergeCell ref="E75:E77"/>
    <mergeCell ref="E78:E80"/>
    <mergeCell ref="E208:E211"/>
    <mergeCell ref="E212:E215"/>
    <mergeCell ref="E216:E219"/>
    <mergeCell ref="E141:E142"/>
    <mergeCell ref="E143:E145"/>
    <mergeCell ref="E153:E155"/>
    <mergeCell ref="E156:E158"/>
    <mergeCell ref="E162:E165"/>
    <mergeCell ref="E166:E172"/>
    <mergeCell ref="E173:E179"/>
    <mergeCell ref="E203:E207"/>
    <mergeCell ref="C104:D104"/>
    <mergeCell ref="C105:D105"/>
    <mergeCell ref="C103:D103"/>
    <mergeCell ref="E56:E57"/>
    <mergeCell ref="E81:E83"/>
    <mergeCell ref="E84:E86"/>
    <mergeCell ref="E87:E89"/>
    <mergeCell ref="E90:E92"/>
    <mergeCell ref="E257:E261"/>
    <mergeCell ref="E137:E138"/>
    <mergeCell ref="E139:E140"/>
    <mergeCell ref="E160:E161"/>
    <mergeCell ref="E201:E202"/>
    <mergeCell ref="E320:E323"/>
    <mergeCell ref="E324:E328"/>
    <mergeCell ref="E332:E335"/>
    <mergeCell ref="E336:E338"/>
    <mergeCell ref="E339:E344"/>
    <mergeCell ref="E301:E302"/>
    <mergeCell ref="E303:E305"/>
    <mergeCell ref="E306:E310"/>
    <mergeCell ref="E311:E313"/>
    <mergeCell ref="E314:E316"/>
    <mergeCell ref="E317:E319"/>
    <mergeCell ref="E330:E331"/>
    <mergeCell ref="B366:E366"/>
    <mergeCell ref="B368:B370"/>
    <mergeCell ref="F420:F421"/>
    <mergeCell ref="F422:F424"/>
    <mergeCell ref="F417:F418"/>
    <mergeCell ref="F415:F416"/>
    <mergeCell ref="F353:F355"/>
    <mergeCell ref="F356:F359"/>
    <mergeCell ref="F360:F363"/>
    <mergeCell ref="F368:F370"/>
    <mergeCell ref="F371:F374"/>
  </mergeCells>
  <pageMargins left="0.7" right="0.7" top="0.75" bottom="0.75" header="0.3" footer="0.3"/>
  <pageSetup paperSize="9" orientation="portrait" horizontalDpi="360" verticalDpi="360" r:id="rId1"/>
  <ignoredErrors>
    <ignoredError sqref="E5 E7 E10 E12 E15 E17 E21 E58 E60 E63 E66 E69 E75 E78 E81 E93 E120 E122 E124 E137 E139 E141 E143 E153 E156 E162 E166 E173 E203 E208 E212 E220 E224 E228 E253 E257 E262 E267 E272 E277 E282 E303 E306 E311 E314 E317 E320 E324 E332 E336 E339 F353 F356 F360 F368 F371 F375 F379 F385 F390 F415 F417 F422 F425 F429 F433 F437 F441"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FF74E-365F-4C1E-9E48-526887690068}">
  <dimension ref="A1:F378"/>
  <sheetViews>
    <sheetView topLeftCell="A44" zoomScale="106" zoomScaleNormal="106" workbookViewId="0">
      <selection activeCell="F38" sqref="F38"/>
    </sheetView>
  </sheetViews>
  <sheetFormatPr baseColWidth="10" defaultRowHeight="15" x14ac:dyDescent="0.25"/>
  <cols>
    <col min="1" max="1" width="13.42578125" customWidth="1"/>
    <col min="2" max="2" width="19.140625" customWidth="1"/>
    <col min="3" max="3" width="15" customWidth="1"/>
    <col min="4" max="4" width="18.5703125" bestFit="1" customWidth="1"/>
    <col min="7" max="7" width="19.85546875" customWidth="1"/>
    <col min="8" max="8" width="14" customWidth="1"/>
  </cols>
  <sheetData>
    <row r="1" spans="1:6" ht="27.75" customHeight="1" x14ac:dyDescent="0.25">
      <c r="B1" s="43" t="s">
        <v>919</v>
      </c>
      <c r="C1" s="43"/>
      <c r="D1" s="43"/>
      <c r="E1" s="43"/>
      <c r="F1" s="43"/>
    </row>
    <row r="2" spans="1:6" ht="15" customHeight="1" x14ac:dyDescent="0.25">
      <c r="A2" s="57" t="s">
        <v>309</v>
      </c>
      <c r="B2" s="58" t="s">
        <v>242</v>
      </c>
      <c r="C2" s="79" t="s">
        <v>260</v>
      </c>
      <c r="D2" s="1" t="s">
        <v>0</v>
      </c>
      <c r="E2" s="1" t="s">
        <v>202</v>
      </c>
      <c r="F2" s="1" t="s">
        <v>9</v>
      </c>
    </row>
    <row r="3" spans="1:6" x14ac:dyDescent="0.25">
      <c r="A3" s="57"/>
      <c r="B3" s="58"/>
      <c r="C3" s="80"/>
      <c r="D3" s="1" t="s">
        <v>22</v>
      </c>
      <c r="E3" s="3" t="s">
        <v>174</v>
      </c>
      <c r="F3" s="1">
        <v>1.62</v>
      </c>
    </row>
    <row r="4" spans="1:6" x14ac:dyDescent="0.25">
      <c r="A4" s="57"/>
      <c r="B4" s="58"/>
      <c r="C4" s="80"/>
      <c r="D4" s="1" t="s">
        <v>243</v>
      </c>
      <c r="E4" s="3" t="s">
        <v>244</v>
      </c>
      <c r="F4" s="1">
        <v>2.016</v>
      </c>
    </row>
    <row r="5" spans="1:6" x14ac:dyDescent="0.25">
      <c r="A5" s="57"/>
      <c r="B5" s="58"/>
      <c r="C5" s="80"/>
      <c r="D5" s="1" t="s">
        <v>245</v>
      </c>
      <c r="E5" s="3">
        <v>3</v>
      </c>
      <c r="F5" s="1">
        <v>1.2110000000000001</v>
      </c>
    </row>
    <row r="6" spans="1:6" x14ac:dyDescent="0.25">
      <c r="A6" s="57"/>
      <c r="B6" s="58"/>
      <c r="C6" s="80"/>
      <c r="D6" s="1" t="s">
        <v>247</v>
      </c>
      <c r="E6" s="3" t="s">
        <v>14</v>
      </c>
      <c r="F6" s="1">
        <v>0.51700000000000002</v>
      </c>
    </row>
    <row r="7" spans="1:6" x14ac:dyDescent="0.25">
      <c r="A7" s="57"/>
      <c r="B7" s="58"/>
      <c r="C7" s="80"/>
      <c r="D7" s="1" t="s">
        <v>248</v>
      </c>
      <c r="E7" s="1" t="s">
        <v>171</v>
      </c>
      <c r="F7" s="1">
        <v>0.6</v>
      </c>
    </row>
    <row r="8" spans="1:6" x14ac:dyDescent="0.25">
      <c r="A8" s="57"/>
      <c r="B8" s="58"/>
      <c r="C8" s="81"/>
      <c r="D8" s="1" t="s">
        <v>249</v>
      </c>
      <c r="E8" s="1" t="s">
        <v>250</v>
      </c>
      <c r="F8" s="1">
        <v>2.6549999999999998</v>
      </c>
    </row>
    <row r="9" spans="1:6" x14ac:dyDescent="0.25">
      <c r="A9" s="57"/>
      <c r="B9" s="58"/>
      <c r="C9" s="60"/>
      <c r="D9" s="61"/>
      <c r="E9" s="62"/>
      <c r="F9" s="7">
        <f>SUM(F3:F8)</f>
        <v>8.6189999999999998</v>
      </c>
    </row>
    <row r="10" spans="1:6" x14ac:dyDescent="0.25">
      <c r="A10" s="57"/>
      <c r="B10" s="58"/>
      <c r="C10" s="79" t="s">
        <v>261</v>
      </c>
      <c r="D10" s="1" t="s">
        <v>256</v>
      </c>
      <c r="E10" s="3" t="s">
        <v>257</v>
      </c>
      <c r="F10" s="1">
        <v>0.66200000000000003</v>
      </c>
    </row>
    <row r="11" spans="1:6" x14ac:dyDescent="0.25">
      <c r="A11" s="57"/>
      <c r="B11" s="58"/>
      <c r="C11" s="80"/>
      <c r="D11" s="1" t="s">
        <v>258</v>
      </c>
      <c r="E11" s="3" t="s">
        <v>257</v>
      </c>
      <c r="F11" s="1">
        <v>0.85</v>
      </c>
    </row>
    <row r="12" spans="1:6" ht="15" customHeight="1" x14ac:dyDescent="0.25">
      <c r="A12" s="57"/>
      <c r="B12" s="58"/>
      <c r="C12" s="80"/>
      <c r="D12" s="1" t="s">
        <v>259</v>
      </c>
      <c r="E12" s="3" t="s">
        <v>257</v>
      </c>
      <c r="F12" s="1">
        <v>0.95</v>
      </c>
    </row>
    <row r="13" spans="1:6" x14ac:dyDescent="0.25">
      <c r="A13" s="57"/>
      <c r="B13" s="58"/>
      <c r="C13" s="80"/>
      <c r="D13" s="1" t="s">
        <v>394</v>
      </c>
      <c r="E13" s="3" t="s">
        <v>257</v>
      </c>
      <c r="F13" s="1">
        <v>0.85</v>
      </c>
    </row>
    <row r="14" spans="1:6" x14ac:dyDescent="0.25">
      <c r="A14" s="57"/>
      <c r="B14" s="58"/>
      <c r="C14" s="80"/>
      <c r="D14" s="1" t="s">
        <v>262</v>
      </c>
      <c r="E14" s="1" t="s">
        <v>12</v>
      </c>
      <c r="F14" s="1">
        <v>1.04</v>
      </c>
    </row>
    <row r="15" spans="1:6" x14ac:dyDescent="0.25">
      <c r="A15" s="57"/>
      <c r="B15" s="58"/>
      <c r="C15" s="80"/>
      <c r="D15" s="1" t="s">
        <v>263</v>
      </c>
      <c r="E15" s="1" t="s">
        <v>357</v>
      </c>
      <c r="F15" s="1">
        <v>0.15</v>
      </c>
    </row>
    <row r="16" spans="1:6" x14ac:dyDescent="0.25">
      <c r="A16" s="57"/>
      <c r="B16" s="58"/>
      <c r="C16" s="80"/>
      <c r="D16" s="1" t="s">
        <v>264</v>
      </c>
      <c r="E16" s="1" t="s">
        <v>166</v>
      </c>
      <c r="F16" s="17">
        <v>0.39</v>
      </c>
    </row>
    <row r="17" spans="1:6" ht="15.75" thickBot="1" x14ac:dyDescent="0.3">
      <c r="A17" s="57"/>
      <c r="B17" s="58"/>
      <c r="C17" s="80"/>
      <c r="D17" s="6" t="s">
        <v>265</v>
      </c>
      <c r="E17" s="6" t="s">
        <v>171</v>
      </c>
      <c r="F17" s="6">
        <v>2.2799999999999998</v>
      </c>
    </row>
    <row r="18" spans="1:6" x14ac:dyDescent="0.25">
      <c r="A18" s="57"/>
      <c r="B18" s="58"/>
      <c r="C18" s="82"/>
      <c r="D18" s="35" t="s">
        <v>266</v>
      </c>
      <c r="E18" s="36" t="s">
        <v>267</v>
      </c>
      <c r="F18" s="36">
        <v>0.77</v>
      </c>
    </row>
    <row r="19" spans="1:6" x14ac:dyDescent="0.25">
      <c r="A19" s="57"/>
      <c r="B19" s="58"/>
      <c r="C19" s="82"/>
      <c r="D19" s="37" t="s">
        <v>268</v>
      </c>
      <c r="E19" s="1" t="s">
        <v>267</v>
      </c>
      <c r="F19" s="1">
        <v>0.42</v>
      </c>
    </row>
    <row r="20" spans="1:6" ht="15.75" thickBot="1" x14ac:dyDescent="0.3">
      <c r="A20" s="57"/>
      <c r="B20" s="58"/>
      <c r="C20" s="82"/>
      <c r="D20" s="38" t="s">
        <v>269</v>
      </c>
      <c r="E20" s="39" t="s">
        <v>267</v>
      </c>
      <c r="F20" s="39">
        <v>0.7</v>
      </c>
    </row>
    <row r="21" spans="1:6" x14ac:dyDescent="0.25">
      <c r="A21" s="57"/>
      <c r="B21" s="58"/>
      <c r="C21" s="80"/>
      <c r="D21" s="34" t="s">
        <v>270</v>
      </c>
      <c r="E21" s="34" t="s">
        <v>10</v>
      </c>
      <c r="F21" s="34">
        <v>3.6</v>
      </c>
    </row>
    <row r="22" spans="1:6" ht="15" customHeight="1" x14ac:dyDescent="0.25">
      <c r="A22" s="57"/>
      <c r="B22" s="58"/>
      <c r="C22" s="80"/>
      <c r="D22" s="1" t="s">
        <v>272</v>
      </c>
      <c r="E22" s="1" t="s">
        <v>11</v>
      </c>
      <c r="F22" s="1">
        <v>0.88500000000000001</v>
      </c>
    </row>
    <row r="23" spans="1:6" x14ac:dyDescent="0.25">
      <c r="A23" s="57"/>
      <c r="B23" s="58"/>
      <c r="C23" s="80"/>
      <c r="D23" s="1" t="s">
        <v>273</v>
      </c>
      <c r="E23" s="1" t="s">
        <v>10</v>
      </c>
      <c r="F23" s="1">
        <v>2.2999999999999998</v>
      </c>
    </row>
    <row r="24" spans="1:6" x14ac:dyDescent="0.25">
      <c r="A24" s="57"/>
      <c r="B24" s="58"/>
      <c r="C24" s="80"/>
      <c r="D24" s="1"/>
      <c r="E24" s="1"/>
      <c r="F24" s="1"/>
    </row>
    <row r="25" spans="1:6" x14ac:dyDescent="0.25">
      <c r="A25" s="57"/>
      <c r="B25" s="58"/>
      <c r="C25" s="80"/>
      <c r="D25" s="1" t="s">
        <v>275</v>
      </c>
      <c r="E25" s="1" t="s">
        <v>12</v>
      </c>
      <c r="F25" s="1">
        <v>0.1</v>
      </c>
    </row>
    <row r="26" spans="1:6" x14ac:dyDescent="0.25">
      <c r="A26" s="57"/>
      <c r="B26" s="58"/>
      <c r="C26" s="80"/>
      <c r="D26" s="1" t="s">
        <v>276</v>
      </c>
      <c r="E26" s="1" t="s">
        <v>166</v>
      </c>
      <c r="F26" s="1">
        <v>0.7</v>
      </c>
    </row>
    <row r="27" spans="1:6" x14ac:dyDescent="0.25">
      <c r="A27" s="57"/>
      <c r="B27" s="58"/>
      <c r="C27" s="81"/>
      <c r="D27" s="1" t="s">
        <v>277</v>
      </c>
      <c r="E27" s="1" t="s">
        <v>166</v>
      </c>
      <c r="F27" s="1">
        <v>0.12</v>
      </c>
    </row>
    <row r="28" spans="1:6" x14ac:dyDescent="0.25">
      <c r="A28" s="57"/>
      <c r="B28" s="58"/>
      <c r="C28" s="47"/>
      <c r="D28" s="48"/>
      <c r="E28" s="49"/>
      <c r="F28" s="7">
        <f>SUM(F10:F27)</f>
        <v>16.766999999999999</v>
      </c>
    </row>
    <row r="29" spans="1:6" x14ac:dyDescent="0.25">
      <c r="A29" s="57"/>
      <c r="B29" s="58"/>
      <c r="C29" s="83" t="s">
        <v>287</v>
      </c>
      <c r="D29" s="1" t="s">
        <v>282</v>
      </c>
      <c r="E29" s="1" t="s">
        <v>184</v>
      </c>
      <c r="F29" s="1">
        <v>2</v>
      </c>
    </row>
    <row r="30" spans="1:6" x14ac:dyDescent="0.25">
      <c r="A30" s="57"/>
      <c r="B30" s="58"/>
      <c r="C30" s="84"/>
      <c r="D30" s="1" t="s">
        <v>283</v>
      </c>
      <c r="E30" s="1" t="s">
        <v>166</v>
      </c>
      <c r="F30" s="1">
        <v>0.08</v>
      </c>
    </row>
    <row r="31" spans="1:6" ht="15" customHeight="1" x14ac:dyDescent="0.25">
      <c r="A31" s="57"/>
      <c r="B31" s="58"/>
      <c r="C31" s="84"/>
      <c r="D31" s="1" t="s">
        <v>284</v>
      </c>
      <c r="E31" s="1" t="s">
        <v>166</v>
      </c>
      <c r="F31" s="1">
        <v>7.4999999999999997E-2</v>
      </c>
    </row>
    <row r="32" spans="1:6" x14ac:dyDescent="0.25">
      <c r="A32" s="57"/>
      <c r="B32" s="58"/>
      <c r="C32" s="84"/>
      <c r="D32" s="1" t="s">
        <v>210</v>
      </c>
      <c r="E32" s="1" t="s">
        <v>166</v>
      </c>
      <c r="F32" s="1">
        <v>0.05</v>
      </c>
    </row>
    <row r="33" spans="1:6" x14ac:dyDescent="0.25">
      <c r="A33" s="57"/>
      <c r="B33" s="58"/>
      <c r="C33" s="84"/>
      <c r="D33" s="1" t="s">
        <v>285</v>
      </c>
      <c r="E33" s="1" t="s">
        <v>168</v>
      </c>
      <c r="F33" s="1">
        <v>0.18</v>
      </c>
    </row>
    <row r="34" spans="1:6" x14ac:dyDescent="0.25">
      <c r="A34" s="57"/>
      <c r="B34" s="58"/>
      <c r="C34" s="84"/>
      <c r="D34" s="1" t="s">
        <v>279</v>
      </c>
      <c r="E34" s="1" t="s">
        <v>167</v>
      </c>
      <c r="F34" s="1">
        <v>0.21</v>
      </c>
    </row>
    <row r="35" spans="1:6" x14ac:dyDescent="0.25">
      <c r="A35" s="57"/>
      <c r="B35" s="58"/>
      <c r="C35" s="85"/>
      <c r="D35" s="1" t="s">
        <v>286</v>
      </c>
      <c r="E35" s="1" t="s">
        <v>13</v>
      </c>
      <c r="F35" s="1">
        <v>0.105</v>
      </c>
    </row>
    <row r="36" spans="1:6" x14ac:dyDescent="0.25">
      <c r="A36" s="57"/>
      <c r="B36" s="60"/>
      <c r="C36" s="61"/>
      <c r="D36" s="61"/>
      <c r="E36" s="62"/>
      <c r="F36" s="7">
        <f>SUM(F29:F35)</f>
        <v>2.7</v>
      </c>
    </row>
    <row r="37" spans="1:6" x14ac:dyDescent="0.25">
      <c r="A37" s="57"/>
      <c r="B37" s="18"/>
      <c r="C37" s="1"/>
      <c r="D37" s="1" t="s">
        <v>531</v>
      </c>
      <c r="E37" s="1" t="s">
        <v>17</v>
      </c>
      <c r="F37" s="1">
        <v>1.9139999999999999</v>
      </c>
    </row>
    <row r="38" spans="1:6" ht="15" customHeight="1" x14ac:dyDescent="0.25">
      <c r="A38" s="57"/>
      <c r="B38" s="59" t="s">
        <v>917</v>
      </c>
      <c r="C38" s="63" t="s">
        <v>255</v>
      </c>
      <c r="D38" s="1" t="s">
        <v>288</v>
      </c>
      <c r="E38" s="1" t="s">
        <v>290</v>
      </c>
      <c r="F38" s="42">
        <v>0.8</v>
      </c>
    </row>
    <row r="39" spans="1:6" x14ac:dyDescent="0.25">
      <c r="A39" s="57"/>
      <c r="B39" s="59"/>
      <c r="C39" s="64"/>
      <c r="D39" s="1" t="s">
        <v>291</v>
      </c>
      <c r="E39" s="1" t="s">
        <v>292</v>
      </c>
      <c r="F39" s="1">
        <v>0.5</v>
      </c>
    </row>
    <row r="40" spans="1:6" x14ac:dyDescent="0.25">
      <c r="A40" s="57"/>
      <c r="B40" s="59"/>
      <c r="C40" s="64"/>
      <c r="D40" s="1" t="s">
        <v>293</v>
      </c>
      <c r="E40" s="1" t="s">
        <v>171</v>
      </c>
      <c r="F40" s="1">
        <v>1.4159999999999999</v>
      </c>
    </row>
    <row r="41" spans="1:6" x14ac:dyDescent="0.25">
      <c r="A41" s="57"/>
      <c r="B41" s="59"/>
      <c r="C41" s="64"/>
      <c r="D41" s="1" t="s">
        <v>294</v>
      </c>
      <c r="E41" s="1" t="s">
        <v>257</v>
      </c>
      <c r="F41" s="1">
        <v>2.0499999999999998</v>
      </c>
    </row>
    <row r="42" spans="1:6" x14ac:dyDescent="0.25">
      <c r="A42" s="57"/>
      <c r="B42" s="59"/>
      <c r="C42" s="64"/>
      <c r="D42" s="1" t="s">
        <v>922</v>
      </c>
      <c r="E42" s="1" t="s">
        <v>10</v>
      </c>
      <c r="F42" s="1">
        <v>0.95</v>
      </c>
    </row>
    <row r="43" spans="1:6" x14ac:dyDescent="0.25">
      <c r="A43" s="57"/>
      <c r="B43" s="59"/>
      <c r="C43" s="64"/>
      <c r="D43" s="1" t="s">
        <v>30</v>
      </c>
      <c r="E43" s="1" t="s">
        <v>11</v>
      </c>
      <c r="F43" s="1">
        <v>1.2</v>
      </c>
    </row>
    <row r="44" spans="1:6" x14ac:dyDescent="0.25">
      <c r="A44" s="57"/>
      <c r="B44" s="59"/>
      <c r="C44" s="64"/>
      <c r="D44" s="1" t="s">
        <v>296</v>
      </c>
      <c r="E44" s="1" t="s">
        <v>184</v>
      </c>
      <c r="F44" s="1">
        <v>1.5</v>
      </c>
    </row>
    <row r="45" spans="1:6" x14ac:dyDescent="0.25">
      <c r="A45" s="57"/>
      <c r="B45" s="59"/>
      <c r="C45" s="64"/>
      <c r="D45" s="1" t="s">
        <v>923</v>
      </c>
      <c r="E45" s="1" t="s">
        <v>924</v>
      </c>
      <c r="F45" s="1">
        <v>0.23200000000000001</v>
      </c>
    </row>
    <row r="46" spans="1:6" x14ac:dyDescent="0.25">
      <c r="A46" s="57"/>
      <c r="B46" s="59"/>
      <c r="C46" s="64"/>
      <c r="D46" s="1" t="s">
        <v>298</v>
      </c>
      <c r="E46" s="1" t="s">
        <v>180</v>
      </c>
      <c r="F46" s="1">
        <v>1.8240000000000001</v>
      </c>
    </row>
    <row r="47" spans="1:6" x14ac:dyDescent="0.25">
      <c r="A47" s="57"/>
      <c r="B47" s="59"/>
      <c r="C47" s="64"/>
      <c r="D47" s="1" t="s">
        <v>299</v>
      </c>
      <c r="E47" s="1" t="s">
        <v>168</v>
      </c>
      <c r="F47" s="1">
        <v>0.72</v>
      </c>
    </row>
    <row r="48" spans="1:6" x14ac:dyDescent="0.25">
      <c r="A48" s="57"/>
      <c r="B48" s="59"/>
      <c r="C48" s="64"/>
      <c r="D48" s="1" t="s">
        <v>300</v>
      </c>
      <c r="E48" s="1" t="s">
        <v>15</v>
      </c>
      <c r="F48" s="1">
        <v>2.85</v>
      </c>
    </row>
    <row r="49" spans="1:6" x14ac:dyDescent="0.25">
      <c r="A49" s="57"/>
      <c r="B49" s="59"/>
      <c r="C49" s="64"/>
      <c r="D49" s="1" t="s">
        <v>926</v>
      </c>
      <c r="E49" s="1" t="s">
        <v>303</v>
      </c>
      <c r="F49" s="1">
        <v>7.94</v>
      </c>
    </row>
    <row r="50" spans="1:6" x14ac:dyDescent="0.25">
      <c r="A50" s="57"/>
      <c r="B50" s="59"/>
      <c r="C50" s="64"/>
      <c r="D50" s="1" t="s">
        <v>302</v>
      </c>
      <c r="E50" s="1" t="s">
        <v>12</v>
      </c>
      <c r="F50" s="1"/>
    </row>
    <row r="51" spans="1:6" x14ac:dyDescent="0.25">
      <c r="A51" s="57"/>
      <c r="B51" s="59"/>
      <c r="C51" s="64"/>
      <c r="D51" s="1" t="s">
        <v>304</v>
      </c>
      <c r="E51" s="1" t="s">
        <v>11</v>
      </c>
      <c r="F51" s="1"/>
    </row>
    <row r="52" spans="1:6" x14ac:dyDescent="0.25">
      <c r="A52" s="57"/>
      <c r="B52" s="59"/>
      <c r="C52" s="64"/>
      <c r="D52" s="1" t="s">
        <v>305</v>
      </c>
      <c r="E52" s="1" t="s">
        <v>11</v>
      </c>
      <c r="F52" s="1"/>
    </row>
    <row r="53" spans="1:6" x14ac:dyDescent="0.25">
      <c r="A53" s="57"/>
      <c r="B53" s="59"/>
      <c r="C53" s="64"/>
      <c r="D53" s="1" t="s">
        <v>306</v>
      </c>
      <c r="E53" s="1" t="s">
        <v>166</v>
      </c>
      <c r="F53" s="1"/>
    </row>
    <row r="54" spans="1:6" x14ac:dyDescent="0.25">
      <c r="A54" s="57"/>
      <c r="B54" s="59"/>
      <c r="C54" s="64"/>
      <c r="D54" s="1" t="s">
        <v>538</v>
      </c>
      <c r="E54" s="1" t="s">
        <v>17</v>
      </c>
      <c r="F54" s="1">
        <v>1.75</v>
      </c>
    </row>
    <row r="55" spans="1:6" x14ac:dyDescent="0.25">
      <c r="A55" s="57"/>
      <c r="B55" s="59"/>
      <c r="C55" s="64"/>
      <c r="D55" s="1" t="s">
        <v>539</v>
      </c>
      <c r="E55" s="1" t="s">
        <v>17</v>
      </c>
      <c r="F55" s="1">
        <v>1.95</v>
      </c>
    </row>
    <row r="56" spans="1:6" x14ac:dyDescent="0.25">
      <c r="A56" s="57"/>
      <c r="B56" s="59"/>
      <c r="C56" s="64"/>
      <c r="D56" s="1" t="s">
        <v>546</v>
      </c>
      <c r="E56" s="1" t="s">
        <v>17</v>
      </c>
      <c r="F56" s="1">
        <v>0.8</v>
      </c>
    </row>
    <row r="57" spans="1:6" x14ac:dyDescent="0.25">
      <c r="A57" s="57"/>
      <c r="B57" s="59"/>
      <c r="C57" s="64"/>
      <c r="D57" s="1" t="s">
        <v>540</v>
      </c>
      <c r="E57" s="1" t="s">
        <v>17</v>
      </c>
      <c r="F57" s="1">
        <v>1.75</v>
      </c>
    </row>
    <row r="58" spans="1:6" x14ac:dyDescent="0.25">
      <c r="A58" s="57"/>
      <c r="B58" s="59"/>
      <c r="C58" s="65"/>
      <c r="D58" s="1" t="s">
        <v>307</v>
      </c>
      <c r="E58" s="1" t="s">
        <v>11</v>
      </c>
      <c r="F58" s="1">
        <v>1.5</v>
      </c>
    </row>
    <row r="59" spans="1:6" ht="15" customHeight="1" x14ac:dyDescent="0.25">
      <c r="A59" s="57"/>
      <c r="B59" s="47"/>
      <c r="C59" s="48"/>
      <c r="D59" s="48"/>
      <c r="E59" s="49"/>
      <c r="F59" s="7">
        <f>SUM(F37:F58)</f>
        <v>31.646000000000001</v>
      </c>
    </row>
    <row r="60" spans="1:6" ht="14.25" customHeight="1" x14ac:dyDescent="0.25">
      <c r="A60" s="57"/>
      <c r="B60" s="56"/>
      <c r="C60" s="53" t="s">
        <v>315</v>
      </c>
      <c r="D60" s="1" t="s">
        <v>0</v>
      </c>
      <c r="E60" s="1" t="s">
        <v>314</v>
      </c>
      <c r="F60" s="1" t="s">
        <v>9</v>
      </c>
    </row>
    <row r="61" spans="1:6" x14ac:dyDescent="0.25">
      <c r="A61" s="57"/>
      <c r="B61" s="56"/>
      <c r="C61" s="54"/>
      <c r="D61" s="1" t="s">
        <v>310</v>
      </c>
      <c r="E61" s="1" t="s">
        <v>257</v>
      </c>
      <c r="F61" s="1">
        <v>1.512</v>
      </c>
    </row>
    <row r="62" spans="1:6" x14ac:dyDescent="0.25">
      <c r="A62" s="57"/>
      <c r="B62" s="56"/>
      <c r="C62" s="54"/>
      <c r="D62" s="1" t="s">
        <v>311</v>
      </c>
      <c r="E62" s="1" t="s">
        <v>257</v>
      </c>
      <c r="F62" s="1">
        <v>3</v>
      </c>
    </row>
    <row r="63" spans="1:6" x14ac:dyDescent="0.25">
      <c r="A63" s="57"/>
      <c r="B63" s="56"/>
      <c r="C63" s="54"/>
      <c r="D63" s="1" t="s">
        <v>312</v>
      </c>
      <c r="E63" s="1" t="s">
        <v>257</v>
      </c>
      <c r="F63" s="1">
        <v>9.9149999999999991</v>
      </c>
    </row>
    <row r="64" spans="1:6" x14ac:dyDescent="0.25">
      <c r="A64" s="57"/>
      <c r="B64" s="56"/>
      <c r="C64" s="55"/>
      <c r="D64" s="1" t="s">
        <v>313</v>
      </c>
      <c r="E64" s="1" t="s">
        <v>184</v>
      </c>
      <c r="F64" s="1">
        <v>0.65</v>
      </c>
    </row>
    <row r="65" spans="1:6" x14ac:dyDescent="0.25">
      <c r="A65" s="57"/>
      <c r="B65" s="56"/>
      <c r="C65" s="47"/>
      <c r="D65" s="48"/>
      <c r="E65" s="49"/>
      <c r="F65" s="7">
        <f>SUM(F60:F64)</f>
        <v>15.077</v>
      </c>
    </row>
    <row r="66" spans="1:6" x14ac:dyDescent="0.25">
      <c r="A66" s="67" t="s">
        <v>216</v>
      </c>
      <c r="B66" s="67"/>
      <c r="C66" s="67"/>
      <c r="D66" s="67"/>
      <c r="E66" s="68">
        <f>F9+F28+F36+F59+F65</f>
        <v>74.808999999999997</v>
      </c>
      <c r="F66" s="68"/>
    </row>
    <row r="67" spans="1:6" x14ac:dyDescent="0.25">
      <c r="A67" s="67"/>
      <c r="B67" s="67"/>
      <c r="C67" s="67"/>
      <c r="D67" s="67"/>
      <c r="E67" s="68"/>
      <c r="F67" s="68"/>
    </row>
    <row r="69" spans="1:6" x14ac:dyDescent="0.25">
      <c r="A69" s="71" t="s">
        <v>318</v>
      </c>
      <c r="B69" s="69" t="s">
        <v>315</v>
      </c>
      <c r="C69" s="1" t="s">
        <v>0</v>
      </c>
      <c r="D69" s="1" t="s">
        <v>314</v>
      </c>
      <c r="E69" s="1" t="s">
        <v>9</v>
      </c>
    </row>
    <row r="70" spans="1:6" x14ac:dyDescent="0.25">
      <c r="A70" s="71"/>
      <c r="B70" s="69"/>
      <c r="C70" s="1" t="s">
        <v>310</v>
      </c>
      <c r="D70" s="1" t="s">
        <v>17</v>
      </c>
      <c r="E70" s="1">
        <v>0.5</v>
      </c>
    </row>
    <row r="71" spans="1:6" x14ac:dyDescent="0.25">
      <c r="A71" s="71"/>
      <c r="B71" s="69"/>
      <c r="C71" s="1" t="s">
        <v>311</v>
      </c>
      <c r="D71" s="1" t="s">
        <v>17</v>
      </c>
      <c r="E71" s="1">
        <v>1</v>
      </c>
    </row>
    <row r="72" spans="1:6" x14ac:dyDescent="0.25">
      <c r="A72" s="71"/>
      <c r="B72" s="69"/>
      <c r="C72" s="1" t="s">
        <v>312</v>
      </c>
      <c r="D72" s="1" t="s">
        <v>17</v>
      </c>
      <c r="E72" s="1">
        <v>3.3050000000000002</v>
      </c>
    </row>
    <row r="73" spans="1:6" x14ac:dyDescent="0.25">
      <c r="A73" s="71"/>
      <c r="B73" s="69"/>
      <c r="C73" s="1" t="s">
        <v>317</v>
      </c>
      <c r="D73" s="1" t="s">
        <v>17</v>
      </c>
      <c r="E73" s="1">
        <v>0.5</v>
      </c>
    </row>
    <row r="74" spans="1:6" ht="15" customHeight="1" x14ac:dyDescent="0.25">
      <c r="A74" s="71"/>
      <c r="B74" s="47" t="s">
        <v>199</v>
      </c>
      <c r="C74" s="48"/>
      <c r="D74" s="49"/>
      <c r="E74" s="7">
        <f>SUM(E70:E73)</f>
        <v>5.3049999999999997</v>
      </c>
    </row>
    <row r="75" spans="1:6" x14ac:dyDescent="0.25">
      <c r="A75" s="71"/>
      <c r="B75" s="70" t="s">
        <v>308</v>
      </c>
      <c r="C75" s="1" t="s">
        <v>218</v>
      </c>
      <c r="D75" s="1" t="s">
        <v>246</v>
      </c>
      <c r="E75" s="1">
        <v>1.62</v>
      </c>
    </row>
    <row r="76" spans="1:6" x14ac:dyDescent="0.25">
      <c r="A76" s="71"/>
      <c r="B76" s="70"/>
      <c r="C76" s="1" t="s">
        <v>359</v>
      </c>
      <c r="D76" s="1" t="s">
        <v>17</v>
      </c>
      <c r="E76" s="1">
        <v>6.915</v>
      </c>
    </row>
    <row r="77" spans="1:6" x14ac:dyDescent="0.25">
      <c r="A77" s="71"/>
      <c r="B77" s="70"/>
      <c r="C77" s="1" t="s">
        <v>600</v>
      </c>
      <c r="D77" s="1" t="s">
        <v>17</v>
      </c>
      <c r="E77" s="1">
        <v>9.8000000000000007</v>
      </c>
    </row>
    <row r="78" spans="1:6" x14ac:dyDescent="0.25">
      <c r="A78" s="71"/>
      <c r="B78" s="70"/>
      <c r="C78" s="1" t="s">
        <v>316</v>
      </c>
      <c r="D78" s="1" t="s">
        <v>292</v>
      </c>
      <c r="E78" s="1">
        <v>2.0499999999999998</v>
      </c>
    </row>
    <row r="79" spans="1:6" x14ac:dyDescent="0.25">
      <c r="A79" s="50" t="s">
        <v>199</v>
      </c>
      <c r="B79" s="50"/>
      <c r="C79" s="50"/>
      <c r="D79" s="50"/>
      <c r="E79" s="7">
        <f>SUM(E75:E78)</f>
        <v>20.385000000000002</v>
      </c>
    </row>
    <row r="80" spans="1:6" x14ac:dyDescent="0.25">
      <c r="A80" s="66"/>
      <c r="B80" s="66"/>
      <c r="C80" s="66"/>
      <c r="D80" s="66"/>
      <c r="E80" s="7">
        <f>E74+E79</f>
        <v>25.69</v>
      </c>
    </row>
    <row r="82" ht="15" customHeight="1" x14ac:dyDescent="0.25"/>
    <row r="88" ht="15" customHeight="1" x14ac:dyDescent="0.25"/>
    <row r="97" spans="1:5" x14ac:dyDescent="0.25">
      <c r="A97" s="71" t="s">
        <v>328</v>
      </c>
      <c r="B97" s="69" t="s">
        <v>315</v>
      </c>
      <c r="C97" s="1" t="s">
        <v>0</v>
      </c>
      <c r="D97" s="1" t="s">
        <v>314</v>
      </c>
      <c r="E97" s="1" t="s">
        <v>9</v>
      </c>
    </row>
    <row r="98" spans="1:5" x14ac:dyDescent="0.25">
      <c r="A98" s="71"/>
      <c r="B98" s="69"/>
      <c r="C98" s="1" t="s">
        <v>310</v>
      </c>
      <c r="D98" s="1" t="s">
        <v>184</v>
      </c>
      <c r="E98" s="1">
        <v>0.5</v>
      </c>
    </row>
    <row r="99" spans="1:5" x14ac:dyDescent="0.25">
      <c r="A99" s="71"/>
      <c r="B99" s="69"/>
      <c r="C99" s="1" t="s">
        <v>311</v>
      </c>
      <c r="D99" s="1" t="s">
        <v>184</v>
      </c>
      <c r="E99" s="1">
        <v>1</v>
      </c>
    </row>
    <row r="100" spans="1:5" x14ac:dyDescent="0.25">
      <c r="A100" s="71"/>
      <c r="B100" s="69"/>
      <c r="C100" s="1" t="s">
        <v>317</v>
      </c>
      <c r="D100" s="1" t="s">
        <v>184</v>
      </c>
      <c r="E100" s="1">
        <v>0.5</v>
      </c>
    </row>
    <row r="101" spans="1:5" x14ac:dyDescent="0.25">
      <c r="A101" s="71"/>
      <c r="B101" s="47" t="s">
        <v>199</v>
      </c>
      <c r="C101" s="48"/>
      <c r="D101" s="49"/>
      <c r="E101" s="7">
        <f>SUM(E98:E100)</f>
        <v>2</v>
      </c>
    </row>
    <row r="102" spans="1:5" x14ac:dyDescent="0.25">
      <c r="A102" s="71"/>
      <c r="B102" s="1"/>
      <c r="C102" s="1"/>
      <c r="D102" s="1"/>
      <c r="E102" s="1"/>
    </row>
    <row r="103" spans="1:5" x14ac:dyDescent="0.25">
      <c r="A103" s="71"/>
      <c r="B103" s="53" t="s">
        <v>324</v>
      </c>
      <c r="C103" s="1" t="s">
        <v>319</v>
      </c>
      <c r="D103" s="1" t="s">
        <v>14</v>
      </c>
      <c r="E103" s="1">
        <v>2.4750000000000001</v>
      </c>
    </row>
    <row r="104" spans="1:5" x14ac:dyDescent="0.25">
      <c r="A104" s="71"/>
      <c r="B104" s="54"/>
      <c r="C104" s="1" t="s">
        <v>320</v>
      </c>
      <c r="D104" s="1" t="s">
        <v>168</v>
      </c>
      <c r="E104" s="1">
        <v>1</v>
      </c>
    </row>
    <row r="105" spans="1:5" ht="15" customHeight="1" x14ac:dyDescent="0.25">
      <c r="A105" s="71"/>
      <c r="B105" s="54"/>
      <c r="C105" s="1" t="s">
        <v>22</v>
      </c>
      <c r="D105" s="1" t="s">
        <v>17</v>
      </c>
      <c r="E105" s="1">
        <v>0.3</v>
      </c>
    </row>
    <row r="106" spans="1:5" x14ac:dyDescent="0.25">
      <c r="A106" s="71"/>
      <c r="B106" s="54"/>
      <c r="C106" s="1" t="s">
        <v>283</v>
      </c>
      <c r="D106" s="1" t="s">
        <v>271</v>
      </c>
      <c r="E106" s="1">
        <v>0.63800000000000001</v>
      </c>
    </row>
    <row r="107" spans="1:5" x14ac:dyDescent="0.25">
      <c r="A107" s="71"/>
      <c r="B107" s="54"/>
      <c r="C107" s="1" t="s">
        <v>284</v>
      </c>
      <c r="D107" s="1" t="s">
        <v>13</v>
      </c>
      <c r="E107" s="1">
        <v>0.3</v>
      </c>
    </row>
    <row r="108" spans="1:5" x14ac:dyDescent="0.25">
      <c r="A108" s="71"/>
      <c r="B108" s="54"/>
      <c r="C108" s="1" t="s">
        <v>321</v>
      </c>
      <c r="D108" s="1" t="s">
        <v>17</v>
      </c>
      <c r="E108" s="1">
        <v>0.8</v>
      </c>
    </row>
    <row r="109" spans="1:5" x14ac:dyDescent="0.25">
      <c r="A109" s="71"/>
      <c r="B109" s="54"/>
      <c r="C109" s="1" t="s">
        <v>334</v>
      </c>
      <c r="D109" s="1" t="s">
        <v>17</v>
      </c>
      <c r="E109" s="1">
        <v>0.85799999999999998</v>
      </c>
    </row>
    <row r="110" spans="1:5" x14ac:dyDescent="0.25">
      <c r="A110" s="71"/>
      <c r="B110" s="55"/>
      <c r="C110" s="1" t="s">
        <v>322</v>
      </c>
      <c r="D110" s="1" t="s">
        <v>325</v>
      </c>
      <c r="E110" s="1">
        <v>0.25</v>
      </c>
    </row>
    <row r="111" spans="1:5" x14ac:dyDescent="0.25">
      <c r="A111" s="71"/>
      <c r="B111" s="47" t="s">
        <v>199</v>
      </c>
      <c r="C111" s="48"/>
      <c r="D111" s="49"/>
      <c r="E111" s="7">
        <f>SUM(E103:E110)</f>
        <v>6.6209999999999996</v>
      </c>
    </row>
    <row r="112" spans="1:5" x14ac:dyDescent="0.25">
      <c r="A112" s="71"/>
      <c r="B112" s="69" t="s">
        <v>308</v>
      </c>
      <c r="C112" s="1" t="s">
        <v>323</v>
      </c>
      <c r="D112" s="1" t="s">
        <v>292</v>
      </c>
      <c r="E112" s="1">
        <v>1.98</v>
      </c>
    </row>
    <row r="113" spans="1:6" x14ac:dyDescent="0.25">
      <c r="A113" s="71"/>
      <c r="B113" s="69"/>
      <c r="C113" s="1" t="s">
        <v>30</v>
      </c>
      <c r="D113" s="1" t="s">
        <v>13</v>
      </c>
      <c r="E113" s="1">
        <v>2.15</v>
      </c>
    </row>
    <row r="114" spans="1:6" x14ac:dyDescent="0.25">
      <c r="A114" s="71"/>
      <c r="B114" s="69"/>
      <c r="C114" s="1" t="s">
        <v>326</v>
      </c>
      <c r="D114" s="1" t="s">
        <v>168</v>
      </c>
      <c r="E114" s="1">
        <v>0.22</v>
      </c>
    </row>
    <row r="115" spans="1:6" x14ac:dyDescent="0.25">
      <c r="A115" s="71"/>
      <c r="B115" s="69"/>
      <c r="C115" s="1" t="s">
        <v>327</v>
      </c>
      <c r="D115" s="1" t="s">
        <v>168</v>
      </c>
      <c r="E115" s="1">
        <v>0.36</v>
      </c>
    </row>
    <row r="116" spans="1:6" x14ac:dyDescent="0.25">
      <c r="A116" s="50" t="s">
        <v>199</v>
      </c>
      <c r="B116" s="50"/>
      <c r="C116" s="50"/>
      <c r="D116" s="7"/>
      <c r="E116" s="7">
        <f>SUM(E112:E115)</f>
        <v>4.71</v>
      </c>
    </row>
    <row r="117" spans="1:6" ht="15" customHeight="1" x14ac:dyDescent="0.25">
      <c r="A117" s="66" t="s">
        <v>216</v>
      </c>
      <c r="B117" s="66"/>
      <c r="C117" s="66"/>
      <c r="D117" s="66"/>
      <c r="E117" s="7">
        <f>E101+E111+E116</f>
        <v>13.331</v>
      </c>
    </row>
    <row r="118" spans="1:6" ht="15" customHeight="1" x14ac:dyDescent="0.25"/>
    <row r="119" spans="1:6" x14ac:dyDescent="0.25">
      <c r="A119" s="71" t="s">
        <v>342</v>
      </c>
      <c r="B119" s="53" t="s">
        <v>324</v>
      </c>
      <c r="C119" s="1" t="s">
        <v>335</v>
      </c>
      <c r="D119" s="1" t="s">
        <v>180</v>
      </c>
      <c r="E119" s="1" t="s">
        <v>9</v>
      </c>
    </row>
    <row r="120" spans="1:6" ht="15" customHeight="1" x14ac:dyDescent="0.25">
      <c r="A120" s="71"/>
      <c r="B120" s="54"/>
      <c r="C120" s="1" t="s">
        <v>336</v>
      </c>
      <c r="D120" s="1" t="s">
        <v>17</v>
      </c>
      <c r="E120" s="1">
        <v>0.3</v>
      </c>
      <c r="F120">
        <v>0.25</v>
      </c>
    </row>
    <row r="121" spans="1:6" x14ac:dyDescent="0.25">
      <c r="A121" s="71"/>
      <c r="B121" s="54"/>
      <c r="C121" s="1" t="s">
        <v>337</v>
      </c>
      <c r="D121" s="1" t="s">
        <v>13</v>
      </c>
      <c r="E121" s="1">
        <v>0.36</v>
      </c>
    </row>
    <row r="122" spans="1:6" x14ac:dyDescent="0.25">
      <c r="A122" s="71"/>
      <c r="B122" s="54"/>
      <c r="C122" s="1" t="s">
        <v>338</v>
      </c>
      <c r="D122" s="1" t="s">
        <v>339</v>
      </c>
      <c r="E122" s="1">
        <v>3.06</v>
      </c>
    </row>
    <row r="123" spans="1:6" x14ac:dyDescent="0.25">
      <c r="A123" s="71"/>
      <c r="B123" s="54"/>
      <c r="C123" s="1" t="s">
        <v>243</v>
      </c>
      <c r="D123" s="1" t="s">
        <v>14</v>
      </c>
      <c r="E123" s="1">
        <v>1</v>
      </c>
    </row>
    <row r="124" spans="1:6" x14ac:dyDescent="0.25">
      <c r="A124" s="71"/>
      <c r="B124" s="54"/>
      <c r="C124" s="1" t="s">
        <v>340</v>
      </c>
      <c r="D124" s="1" t="s">
        <v>14</v>
      </c>
      <c r="E124" s="1">
        <v>0.45</v>
      </c>
    </row>
    <row r="125" spans="1:6" x14ac:dyDescent="0.25">
      <c r="A125" s="71"/>
      <c r="B125" s="54"/>
      <c r="C125" s="40" t="s">
        <v>320</v>
      </c>
      <c r="D125" s="1" t="s">
        <v>168</v>
      </c>
      <c r="E125" s="1">
        <v>0.1</v>
      </c>
    </row>
    <row r="126" spans="1:6" x14ac:dyDescent="0.25">
      <c r="A126" s="71"/>
      <c r="B126" s="54"/>
      <c r="C126" s="1" t="s">
        <v>421</v>
      </c>
      <c r="D126" s="1" t="s">
        <v>17</v>
      </c>
      <c r="E126" s="1">
        <v>1</v>
      </c>
    </row>
    <row r="127" spans="1:6" x14ac:dyDescent="0.25">
      <c r="A127" s="71"/>
      <c r="B127" s="54"/>
      <c r="C127" s="1" t="s">
        <v>859</v>
      </c>
      <c r="D127" s="1" t="s">
        <v>10</v>
      </c>
      <c r="E127" s="1">
        <v>0.7</v>
      </c>
    </row>
    <row r="128" spans="1:6" x14ac:dyDescent="0.25">
      <c r="A128" s="71"/>
      <c r="B128" s="54"/>
      <c r="C128" s="1" t="s">
        <v>405</v>
      </c>
      <c r="D128" s="1" t="s">
        <v>29</v>
      </c>
      <c r="E128" s="1">
        <v>0.23</v>
      </c>
    </row>
    <row r="129" spans="1:5" ht="15" customHeight="1" x14ac:dyDescent="0.25">
      <c r="A129" s="71"/>
      <c r="B129" s="54"/>
      <c r="C129" s="1" t="s">
        <v>341</v>
      </c>
      <c r="D129" s="1" t="s">
        <v>17</v>
      </c>
      <c r="E129" s="1">
        <v>0.85799999999999998</v>
      </c>
    </row>
    <row r="130" spans="1:5" x14ac:dyDescent="0.25">
      <c r="A130" s="71"/>
      <c r="B130" s="47" t="s">
        <v>199</v>
      </c>
      <c r="C130" s="48"/>
      <c r="D130" s="49"/>
      <c r="E130" s="7">
        <f>SUM(E120:E129)</f>
        <v>8.0579999999999998</v>
      </c>
    </row>
    <row r="131" spans="1:5" x14ac:dyDescent="0.25">
      <c r="A131" s="71"/>
    </row>
    <row r="132" spans="1:5" x14ac:dyDescent="0.25">
      <c r="A132" s="71"/>
      <c r="B132" s="53" t="s">
        <v>315</v>
      </c>
      <c r="C132" s="1" t="s">
        <v>0</v>
      </c>
      <c r="D132" s="1" t="s">
        <v>314</v>
      </c>
      <c r="E132" s="1" t="s">
        <v>9</v>
      </c>
    </row>
    <row r="133" spans="1:5" ht="15" customHeight="1" x14ac:dyDescent="0.25">
      <c r="A133" s="71"/>
      <c r="B133" s="54"/>
      <c r="C133" s="1" t="s">
        <v>310</v>
      </c>
      <c r="D133" s="1" t="s">
        <v>184</v>
      </c>
      <c r="E133" s="1">
        <v>0.51</v>
      </c>
    </row>
    <row r="134" spans="1:5" x14ac:dyDescent="0.25">
      <c r="A134" s="71"/>
      <c r="B134" s="55"/>
      <c r="C134" s="1" t="s">
        <v>343</v>
      </c>
      <c r="D134" s="1" t="s">
        <v>184</v>
      </c>
      <c r="E134" s="1">
        <v>0.45500000000000002</v>
      </c>
    </row>
    <row r="135" spans="1:5" x14ac:dyDescent="0.25">
      <c r="A135" s="78"/>
      <c r="B135" s="74" t="s">
        <v>199</v>
      </c>
      <c r="C135" s="75"/>
      <c r="D135" s="76"/>
      <c r="E135" s="19">
        <f>SUM(E133:E134)</f>
        <v>0.96500000000000008</v>
      </c>
    </row>
    <row r="136" spans="1:5" x14ac:dyDescent="0.25">
      <c r="A136" s="90" t="s">
        <v>216</v>
      </c>
      <c r="B136" s="91"/>
      <c r="C136" s="91"/>
      <c r="D136" s="92"/>
      <c r="E136" s="7">
        <f>E130+E135</f>
        <v>9.0229999999999997</v>
      </c>
    </row>
    <row r="138" spans="1:5" x14ac:dyDescent="0.25">
      <c r="A138" s="94" t="s">
        <v>547</v>
      </c>
      <c r="B138" s="1" t="s">
        <v>0</v>
      </c>
      <c r="C138" s="1" t="s">
        <v>202</v>
      </c>
      <c r="D138" s="56" t="s">
        <v>9</v>
      </c>
      <c r="E138" s="56"/>
    </row>
    <row r="139" spans="1:5" x14ac:dyDescent="0.25">
      <c r="A139" s="94"/>
      <c r="B139" s="1" t="s">
        <v>548</v>
      </c>
      <c r="C139" s="1" t="s">
        <v>17</v>
      </c>
      <c r="D139" s="89">
        <v>0.5</v>
      </c>
      <c r="E139" s="89"/>
    </row>
    <row r="140" spans="1:5" x14ac:dyDescent="0.25">
      <c r="A140" s="94"/>
      <c r="B140" s="1" t="s">
        <v>549</v>
      </c>
      <c r="C140" s="1" t="s">
        <v>17</v>
      </c>
      <c r="D140" s="89">
        <v>1</v>
      </c>
      <c r="E140" s="89"/>
    </row>
    <row r="141" spans="1:5" x14ac:dyDescent="0.25">
      <c r="A141" s="94"/>
      <c r="B141" s="1" t="s">
        <v>550</v>
      </c>
      <c r="C141" s="1" t="s">
        <v>446</v>
      </c>
      <c r="D141" s="89">
        <v>0.5</v>
      </c>
      <c r="E141" s="89"/>
    </row>
    <row r="142" spans="1:5" x14ac:dyDescent="0.25">
      <c r="A142" s="94"/>
      <c r="B142" s="1" t="s">
        <v>551</v>
      </c>
      <c r="C142" s="1" t="s">
        <v>17</v>
      </c>
      <c r="D142" s="89">
        <v>1.75</v>
      </c>
      <c r="E142" s="89"/>
    </row>
    <row r="143" spans="1:5" x14ac:dyDescent="0.25">
      <c r="A143" s="94"/>
      <c r="B143" s="1"/>
      <c r="C143" s="1"/>
      <c r="D143" s="89"/>
      <c r="E143" s="89"/>
    </row>
    <row r="144" spans="1:5" x14ac:dyDescent="0.25">
      <c r="A144" s="50"/>
      <c r="B144" s="50"/>
      <c r="C144" s="50"/>
      <c r="D144" s="50">
        <f>SUM(D139:E142)</f>
        <v>3.75</v>
      </c>
      <c r="E144" s="50"/>
    </row>
    <row r="147" spans="1:6" x14ac:dyDescent="0.25">
      <c r="A147" s="71" t="s">
        <v>606</v>
      </c>
      <c r="B147" s="53" t="s">
        <v>324</v>
      </c>
      <c r="C147" s="40" t="s">
        <v>335</v>
      </c>
      <c r="D147" s="1" t="s">
        <v>180</v>
      </c>
      <c r="E147" s="1" t="s">
        <v>9</v>
      </c>
    </row>
    <row r="148" spans="1:6" x14ac:dyDescent="0.25">
      <c r="A148" s="71"/>
      <c r="B148" s="54"/>
      <c r="C148" s="1" t="s">
        <v>921</v>
      </c>
      <c r="D148" s="1" t="s">
        <v>17</v>
      </c>
      <c r="E148" s="1">
        <v>2.2599999999999998</v>
      </c>
    </row>
    <row r="149" spans="1:6" x14ac:dyDescent="0.25">
      <c r="A149" s="71"/>
      <c r="B149" s="54"/>
      <c r="C149" s="1" t="s">
        <v>337</v>
      </c>
      <c r="D149" s="1" t="s">
        <v>13</v>
      </c>
      <c r="E149" s="1">
        <v>0.36</v>
      </c>
    </row>
    <row r="150" spans="1:6" x14ac:dyDescent="0.25">
      <c r="A150" s="71"/>
      <c r="B150" s="54"/>
      <c r="C150" s="40" t="s">
        <v>338</v>
      </c>
      <c r="D150" s="1" t="s">
        <v>339</v>
      </c>
      <c r="E150" s="1">
        <v>3.06</v>
      </c>
    </row>
    <row r="151" spans="1:6" x14ac:dyDescent="0.25">
      <c r="A151" s="71"/>
      <c r="B151" s="54"/>
      <c r="C151" s="40" t="s">
        <v>243</v>
      </c>
      <c r="D151" s="1" t="s">
        <v>10</v>
      </c>
      <c r="E151" s="1">
        <v>0.64600000000000002</v>
      </c>
    </row>
    <row r="152" spans="1:6" x14ac:dyDescent="0.25">
      <c r="A152" s="71"/>
      <c r="B152" s="54"/>
      <c r="C152" s="1" t="s">
        <v>340</v>
      </c>
      <c r="D152" s="1" t="s">
        <v>14</v>
      </c>
      <c r="E152" s="1">
        <v>0.45</v>
      </c>
    </row>
    <row r="153" spans="1:6" x14ac:dyDescent="0.25">
      <c r="A153" s="71"/>
      <c r="B153" s="54"/>
      <c r="C153" s="40" t="s">
        <v>320</v>
      </c>
      <c r="D153" s="1" t="s">
        <v>168</v>
      </c>
      <c r="E153" s="1">
        <v>0.1</v>
      </c>
    </row>
    <row r="154" spans="1:6" x14ac:dyDescent="0.25">
      <c r="A154" s="71"/>
      <c r="B154" s="54"/>
      <c r="C154" s="1" t="s">
        <v>421</v>
      </c>
      <c r="D154" s="1" t="s">
        <v>17</v>
      </c>
      <c r="E154" s="1">
        <v>1</v>
      </c>
      <c r="F154" t="s">
        <v>920</v>
      </c>
    </row>
    <row r="155" spans="1:6" x14ac:dyDescent="0.25">
      <c r="A155" s="71"/>
      <c r="B155" s="54"/>
      <c r="C155" s="1" t="s">
        <v>405</v>
      </c>
      <c r="D155" s="1" t="s">
        <v>29</v>
      </c>
      <c r="E155" s="1">
        <v>0.23</v>
      </c>
    </row>
    <row r="156" spans="1:6" x14ac:dyDescent="0.25">
      <c r="A156" s="71"/>
      <c r="B156" s="54"/>
      <c r="C156" s="1" t="s">
        <v>608</v>
      </c>
      <c r="D156" s="1" t="s">
        <v>17</v>
      </c>
      <c r="E156" s="1">
        <v>3</v>
      </c>
    </row>
    <row r="157" spans="1:6" x14ac:dyDescent="0.25">
      <c r="A157" s="71"/>
      <c r="B157" s="54"/>
      <c r="C157" s="1" t="s">
        <v>245</v>
      </c>
      <c r="D157" s="1" t="s">
        <v>17</v>
      </c>
      <c r="E157" s="1">
        <v>0.36</v>
      </c>
    </row>
    <row r="158" spans="1:6" x14ac:dyDescent="0.25">
      <c r="A158" s="71"/>
      <c r="B158" s="54"/>
      <c r="C158" s="1" t="s">
        <v>261</v>
      </c>
      <c r="D158" s="1" t="s">
        <v>17</v>
      </c>
      <c r="E158" s="1">
        <v>4.5780000000000003</v>
      </c>
    </row>
    <row r="159" spans="1:6" x14ac:dyDescent="0.25">
      <c r="A159" s="71"/>
      <c r="B159" s="54"/>
      <c r="C159" s="1" t="s">
        <v>915</v>
      </c>
      <c r="D159" s="31" t="s">
        <v>916</v>
      </c>
      <c r="E159" s="1">
        <v>0.25</v>
      </c>
    </row>
    <row r="160" spans="1:6" x14ac:dyDescent="0.25">
      <c r="A160" s="71"/>
      <c r="B160" s="54"/>
      <c r="C160" s="1" t="s">
        <v>321</v>
      </c>
      <c r="D160" s="1" t="s">
        <v>17</v>
      </c>
      <c r="E160" s="1">
        <v>0.8</v>
      </c>
    </row>
    <row r="161" spans="1:5" x14ac:dyDescent="0.25">
      <c r="A161" s="71"/>
      <c r="B161" s="54"/>
      <c r="C161" s="1" t="s">
        <v>341</v>
      </c>
      <c r="D161" s="1" t="s">
        <v>17</v>
      </c>
      <c r="E161" s="1">
        <v>0.85799999999999998</v>
      </c>
    </row>
    <row r="162" spans="1:5" x14ac:dyDescent="0.25">
      <c r="A162" s="71"/>
      <c r="B162" s="47" t="s">
        <v>199</v>
      </c>
      <c r="C162" s="48"/>
      <c r="D162" s="49"/>
      <c r="E162" s="7">
        <f>SUM(E148:E161)</f>
        <v>17.952000000000002</v>
      </c>
    </row>
    <row r="163" spans="1:5" x14ac:dyDescent="0.25">
      <c r="A163" s="71"/>
    </row>
    <row r="164" spans="1:5" x14ac:dyDescent="0.25">
      <c r="A164" s="71"/>
      <c r="B164" s="53" t="s">
        <v>315</v>
      </c>
      <c r="C164" s="1" t="s">
        <v>0</v>
      </c>
      <c r="D164" s="1" t="s">
        <v>314</v>
      </c>
      <c r="E164" s="1" t="s">
        <v>9</v>
      </c>
    </row>
    <row r="165" spans="1:5" x14ac:dyDescent="0.25">
      <c r="A165" s="71"/>
      <c r="B165" s="54"/>
      <c r="C165" s="1" t="s">
        <v>607</v>
      </c>
      <c r="D165" s="1" t="s">
        <v>17</v>
      </c>
      <c r="E165" s="1">
        <v>1</v>
      </c>
    </row>
    <row r="166" spans="1:5" x14ac:dyDescent="0.25">
      <c r="A166" s="71"/>
      <c r="B166" s="54"/>
      <c r="C166" s="1" t="s">
        <v>312</v>
      </c>
      <c r="D166" s="1" t="s">
        <v>17</v>
      </c>
      <c r="E166" s="1">
        <v>3.33</v>
      </c>
    </row>
    <row r="167" spans="1:5" x14ac:dyDescent="0.25">
      <c r="A167" s="71"/>
      <c r="B167" s="54"/>
      <c r="C167" s="1" t="s">
        <v>310</v>
      </c>
      <c r="D167" s="1" t="s">
        <v>184</v>
      </c>
      <c r="E167" s="1">
        <v>0.51</v>
      </c>
    </row>
    <row r="168" spans="1:5" x14ac:dyDescent="0.25">
      <c r="A168" s="71"/>
      <c r="B168" s="55"/>
      <c r="C168" s="1" t="s">
        <v>343</v>
      </c>
      <c r="D168" s="1" t="s">
        <v>184</v>
      </c>
      <c r="E168" s="1">
        <v>0.45500000000000002</v>
      </c>
    </row>
    <row r="169" spans="1:5" x14ac:dyDescent="0.25">
      <c r="A169" s="78"/>
      <c r="B169" s="74" t="s">
        <v>199</v>
      </c>
      <c r="C169" s="75"/>
      <c r="D169" s="76"/>
      <c r="E169" s="19">
        <f>SUM(E165:E168)</f>
        <v>5.2949999999999999</v>
      </c>
    </row>
    <row r="170" spans="1:5" x14ac:dyDescent="0.25">
      <c r="A170" s="90" t="s">
        <v>216</v>
      </c>
      <c r="B170" s="91"/>
      <c r="C170" s="91"/>
      <c r="D170" s="92"/>
      <c r="E170" s="7">
        <f>E162+E169</f>
        <v>23.247</v>
      </c>
    </row>
    <row r="172" spans="1:5" x14ac:dyDescent="0.25">
      <c r="A172" s="79" t="s">
        <v>925</v>
      </c>
      <c r="B172" s="1" t="s">
        <v>0</v>
      </c>
      <c r="C172" s="1" t="s">
        <v>202</v>
      </c>
      <c r="D172" s="1" t="s">
        <v>9</v>
      </c>
    </row>
    <row r="173" spans="1:5" x14ac:dyDescent="0.25">
      <c r="A173" s="80"/>
      <c r="B173" s="1" t="s">
        <v>22</v>
      </c>
      <c r="C173" s="2" t="s">
        <v>219</v>
      </c>
      <c r="D173" s="1">
        <f>0.17*8</f>
        <v>1.36</v>
      </c>
    </row>
    <row r="174" spans="1:5" x14ac:dyDescent="0.25">
      <c r="A174" s="80"/>
      <c r="B174" s="1" t="s">
        <v>220</v>
      </c>
      <c r="C174" s="3" t="s">
        <v>197</v>
      </c>
      <c r="D174" s="1">
        <v>2.8719999999999999</v>
      </c>
    </row>
    <row r="175" spans="1:5" x14ac:dyDescent="0.25">
      <c r="A175" s="80"/>
      <c r="B175" s="1" t="s">
        <v>221</v>
      </c>
      <c r="C175" s="3" t="s">
        <v>223</v>
      </c>
      <c r="D175" s="1">
        <v>21</v>
      </c>
    </row>
    <row r="176" spans="1:5" x14ac:dyDescent="0.25">
      <c r="A176" s="80"/>
      <c r="B176" s="1" t="s">
        <v>222</v>
      </c>
      <c r="C176" s="3" t="s">
        <v>224</v>
      </c>
      <c r="D176" s="1">
        <v>0.16</v>
      </c>
    </row>
    <row r="177" spans="1:6" x14ac:dyDescent="0.25">
      <c r="A177" s="80"/>
      <c r="B177" s="1" t="s">
        <v>225</v>
      </c>
      <c r="C177" s="1" t="s">
        <v>11</v>
      </c>
      <c r="D177" s="1">
        <v>0.63</v>
      </c>
    </row>
    <row r="178" spans="1:6" x14ac:dyDescent="0.25">
      <c r="A178" s="80"/>
      <c r="B178" s="1" t="s">
        <v>5</v>
      </c>
      <c r="C178" s="1" t="s">
        <v>173</v>
      </c>
      <c r="D178" s="1">
        <v>6.84</v>
      </c>
    </row>
    <row r="179" spans="1:6" x14ac:dyDescent="0.25">
      <c r="A179" s="81"/>
      <c r="B179" s="1" t="s">
        <v>226</v>
      </c>
      <c r="C179" s="1" t="s">
        <v>227</v>
      </c>
      <c r="D179" s="1">
        <v>0.57599999999999996</v>
      </c>
    </row>
    <row r="180" spans="1:6" x14ac:dyDescent="0.25">
      <c r="A180" s="12" t="s">
        <v>216</v>
      </c>
      <c r="B180" s="12"/>
      <c r="C180" s="12"/>
      <c r="D180" s="7">
        <f>SUM(D173:D179)</f>
        <v>33.437999999999995</v>
      </c>
      <c r="E180">
        <f>D180/110</f>
        <v>0.30398181818181813</v>
      </c>
      <c r="F180">
        <f>E180*6</f>
        <v>1.8238909090909088</v>
      </c>
    </row>
    <row r="182" spans="1:6" x14ac:dyDescent="0.25">
      <c r="A182" s="79" t="s">
        <v>289</v>
      </c>
      <c r="B182" s="1" t="s">
        <v>0</v>
      </c>
      <c r="C182" s="1" t="s">
        <v>202</v>
      </c>
      <c r="D182" s="1" t="s">
        <v>9</v>
      </c>
    </row>
    <row r="183" spans="1:6" x14ac:dyDescent="0.25">
      <c r="A183" s="80"/>
      <c r="B183" s="1" t="s">
        <v>417</v>
      </c>
      <c r="C183" s="1" t="s">
        <v>223</v>
      </c>
      <c r="D183" s="1">
        <v>22</v>
      </c>
    </row>
    <row r="184" spans="1:6" x14ac:dyDescent="0.25">
      <c r="A184" s="80"/>
      <c r="B184" s="1" t="s">
        <v>22</v>
      </c>
      <c r="C184" s="2" t="s">
        <v>228</v>
      </c>
      <c r="D184" s="1">
        <v>1.7</v>
      </c>
    </row>
    <row r="185" spans="1:6" x14ac:dyDescent="0.25">
      <c r="A185" s="80"/>
      <c r="B185" s="1" t="s">
        <v>226</v>
      </c>
      <c r="C185" s="3" t="s">
        <v>229</v>
      </c>
      <c r="D185" s="1">
        <v>0.8</v>
      </c>
    </row>
    <row r="186" spans="1:6" x14ac:dyDescent="0.25">
      <c r="A186" s="80"/>
      <c r="B186" s="1" t="s">
        <v>230</v>
      </c>
      <c r="C186" s="3" t="s">
        <v>231</v>
      </c>
      <c r="D186" s="1">
        <v>3.125</v>
      </c>
    </row>
    <row r="187" spans="1:6" x14ac:dyDescent="0.25">
      <c r="A187" s="80"/>
      <c r="B187" s="1" t="s">
        <v>232</v>
      </c>
      <c r="C187" s="3" t="s">
        <v>233</v>
      </c>
      <c r="D187" s="1">
        <v>0.67500000000000004</v>
      </c>
    </row>
    <row r="188" spans="1:6" x14ac:dyDescent="0.25">
      <c r="A188" s="80"/>
      <c r="B188" s="1" t="s">
        <v>234</v>
      </c>
      <c r="C188" s="1" t="s">
        <v>235</v>
      </c>
      <c r="D188" s="1">
        <v>6.1449999999999996</v>
      </c>
    </row>
    <row r="189" spans="1:6" x14ac:dyDescent="0.25">
      <c r="A189" s="81"/>
      <c r="B189" s="1" t="s">
        <v>236</v>
      </c>
      <c r="C189" s="1" t="s">
        <v>181</v>
      </c>
      <c r="D189" s="1">
        <v>4.5</v>
      </c>
    </row>
    <row r="190" spans="1:6" x14ac:dyDescent="0.25">
      <c r="A190" s="12" t="s">
        <v>216</v>
      </c>
      <c r="B190" s="12"/>
      <c r="C190" s="12"/>
      <c r="D190" s="7">
        <f>SUM(D183:D189)</f>
        <v>38.945</v>
      </c>
      <c r="E190">
        <f>D190/24</f>
        <v>1.6227083333333334</v>
      </c>
    </row>
    <row r="197" spans="1:5" x14ac:dyDescent="0.25">
      <c r="A197" s="79" t="s">
        <v>367</v>
      </c>
      <c r="B197" s="1" t="s">
        <v>0</v>
      </c>
      <c r="C197" s="1" t="s">
        <v>202</v>
      </c>
      <c r="D197" s="1" t="s">
        <v>9</v>
      </c>
    </row>
    <row r="198" spans="1:5" x14ac:dyDescent="0.25">
      <c r="A198" s="80"/>
      <c r="B198" s="1" t="s">
        <v>230</v>
      </c>
      <c r="C198" s="3">
        <v>0.43</v>
      </c>
      <c r="D198" s="1">
        <v>1.1200000000000001</v>
      </c>
    </row>
    <row r="199" spans="1:5" x14ac:dyDescent="0.25">
      <c r="A199" s="80"/>
      <c r="B199" s="1" t="s">
        <v>238</v>
      </c>
      <c r="C199" s="3">
        <v>0.18</v>
      </c>
      <c r="D199" s="1">
        <v>0.24299999999999999</v>
      </c>
    </row>
    <row r="200" spans="1:5" x14ac:dyDescent="0.25">
      <c r="A200" s="80"/>
      <c r="B200" s="1" t="s">
        <v>234</v>
      </c>
      <c r="C200" s="3">
        <v>0.11</v>
      </c>
      <c r="D200" s="1">
        <v>2.145</v>
      </c>
    </row>
    <row r="201" spans="1:5" x14ac:dyDescent="0.25">
      <c r="A201" s="80"/>
      <c r="B201" s="1" t="s">
        <v>236</v>
      </c>
      <c r="C201" s="3">
        <v>0.09</v>
      </c>
      <c r="D201" s="1">
        <v>1.62</v>
      </c>
    </row>
    <row r="202" spans="1:5" x14ac:dyDescent="0.25">
      <c r="A202" s="80"/>
      <c r="B202" s="1"/>
      <c r="C202" s="1"/>
      <c r="D202" s="1"/>
    </row>
    <row r="203" spans="1:5" x14ac:dyDescent="0.25">
      <c r="A203" s="81"/>
      <c r="B203" s="1"/>
      <c r="C203" s="1"/>
      <c r="D203" s="1"/>
    </row>
    <row r="204" spans="1:5" ht="15" customHeight="1" x14ac:dyDescent="0.25">
      <c r="A204" s="9" t="s">
        <v>216</v>
      </c>
      <c r="B204" s="10"/>
      <c r="C204" s="11"/>
      <c r="D204" s="7">
        <f>SUM(D198:D203)</f>
        <v>5.1280000000000001</v>
      </c>
      <c r="E204">
        <f>D204/24</f>
        <v>0.21366666666666667</v>
      </c>
    </row>
    <row r="205" spans="1:5" ht="15" customHeight="1" x14ac:dyDescent="0.25"/>
    <row r="206" spans="1:5" x14ac:dyDescent="0.25">
      <c r="A206" s="69" t="s">
        <v>516</v>
      </c>
      <c r="B206" s="1" t="s">
        <v>0</v>
      </c>
      <c r="C206" s="1" t="s">
        <v>202</v>
      </c>
      <c r="D206" s="1" t="s">
        <v>9</v>
      </c>
    </row>
    <row r="207" spans="1:5" x14ac:dyDescent="0.25">
      <c r="A207" s="69"/>
      <c r="B207" s="1" t="s">
        <v>251</v>
      </c>
      <c r="C207" s="3" t="s">
        <v>166</v>
      </c>
      <c r="D207" s="1">
        <v>0.05</v>
      </c>
    </row>
    <row r="208" spans="1:5" x14ac:dyDescent="0.25">
      <c r="A208" s="69"/>
      <c r="B208" s="1" t="s">
        <v>253</v>
      </c>
      <c r="C208" s="3" t="s">
        <v>166</v>
      </c>
      <c r="D208" s="1">
        <v>0.22500000000000001</v>
      </c>
    </row>
    <row r="209" spans="1:4" x14ac:dyDescent="0.25">
      <c r="A209" s="69"/>
      <c r="B209" s="1" t="s">
        <v>252</v>
      </c>
      <c r="C209" s="3" t="s">
        <v>166</v>
      </c>
      <c r="D209" s="1">
        <v>5.8000000000000003E-2</v>
      </c>
    </row>
    <row r="210" spans="1:4" x14ac:dyDescent="0.25">
      <c r="A210" s="69"/>
      <c r="B210" s="1" t="s">
        <v>23</v>
      </c>
      <c r="C210" s="3" t="s">
        <v>166</v>
      </c>
      <c r="D210" s="1">
        <v>0.32500000000000001</v>
      </c>
    </row>
    <row r="211" spans="1:4" x14ac:dyDescent="0.25">
      <c r="A211" s="69"/>
      <c r="B211" s="1" t="s">
        <v>254</v>
      </c>
      <c r="C211" s="1" t="s">
        <v>167</v>
      </c>
      <c r="D211" s="1">
        <v>0.2</v>
      </c>
    </row>
    <row r="212" spans="1:4" x14ac:dyDescent="0.25">
      <c r="A212" s="69"/>
      <c r="B212" s="1"/>
      <c r="C212" s="1"/>
      <c r="D212" s="1"/>
    </row>
    <row r="213" spans="1:4" x14ac:dyDescent="0.25">
      <c r="A213" s="77"/>
      <c r="B213" s="77"/>
      <c r="C213" s="77"/>
      <c r="D213" s="7">
        <f>SUM(D207:D212)</f>
        <v>0.8580000000000001</v>
      </c>
    </row>
    <row r="215" spans="1:4" x14ac:dyDescent="0.25">
      <c r="A215" s="69" t="s">
        <v>574</v>
      </c>
      <c r="B215" s="1" t="s">
        <v>0</v>
      </c>
      <c r="C215" s="1" t="s">
        <v>202</v>
      </c>
      <c r="D215" s="1" t="s">
        <v>9</v>
      </c>
    </row>
    <row r="216" spans="1:4" x14ac:dyDescent="0.25">
      <c r="A216" s="69"/>
      <c r="B216" s="1" t="s">
        <v>278</v>
      </c>
      <c r="C216" s="3" t="s">
        <v>362</v>
      </c>
      <c r="D216" s="1">
        <v>5.0000000000000001E-3</v>
      </c>
    </row>
    <row r="217" spans="1:4" x14ac:dyDescent="0.25">
      <c r="A217" s="69"/>
      <c r="B217" s="1" t="s">
        <v>279</v>
      </c>
      <c r="C217" s="3" t="s">
        <v>363</v>
      </c>
      <c r="D217" s="1">
        <v>0.13</v>
      </c>
    </row>
    <row r="218" spans="1:4" x14ac:dyDescent="0.25">
      <c r="A218" s="69"/>
      <c r="B218" s="1" t="s">
        <v>280</v>
      </c>
      <c r="C218" s="3" t="s">
        <v>364</v>
      </c>
      <c r="D218" s="1">
        <v>0.2</v>
      </c>
    </row>
    <row r="219" spans="1:4" x14ac:dyDescent="0.25">
      <c r="A219" s="69"/>
      <c r="B219" s="1" t="s">
        <v>281</v>
      </c>
      <c r="C219" s="3" t="s">
        <v>183</v>
      </c>
      <c r="D219" s="1">
        <v>0.7</v>
      </c>
    </row>
    <row r="220" spans="1:4" x14ac:dyDescent="0.25">
      <c r="A220" s="69"/>
      <c r="B220" s="1" t="s">
        <v>366</v>
      </c>
      <c r="C220" s="1"/>
      <c r="D220" s="1">
        <v>3.3</v>
      </c>
    </row>
    <row r="221" spans="1:4" x14ac:dyDescent="0.25">
      <c r="A221" s="69"/>
      <c r="B221" s="1"/>
      <c r="C221" s="1"/>
      <c r="D221" s="1"/>
    </row>
    <row r="222" spans="1:4" x14ac:dyDescent="0.25">
      <c r="A222" s="77"/>
      <c r="B222" s="77"/>
      <c r="C222" s="77"/>
      <c r="D222" s="7">
        <f>SUM(D216:D221)</f>
        <v>4.335</v>
      </c>
    </row>
    <row r="224" spans="1:4" x14ac:dyDescent="0.25">
      <c r="A224" s="69" t="s">
        <v>315</v>
      </c>
      <c r="B224" s="1" t="s">
        <v>0</v>
      </c>
      <c r="C224" s="1" t="s">
        <v>314</v>
      </c>
      <c r="D224" s="1" t="s">
        <v>9</v>
      </c>
    </row>
    <row r="225" spans="1:4" x14ac:dyDescent="0.25">
      <c r="A225" s="69"/>
      <c r="B225" s="1" t="s">
        <v>310</v>
      </c>
      <c r="C225" s="1" t="s">
        <v>257</v>
      </c>
      <c r="D225" s="1">
        <v>1.512</v>
      </c>
    </row>
    <row r="226" spans="1:4" x14ac:dyDescent="0.25">
      <c r="A226" s="69"/>
      <c r="B226" s="1" t="s">
        <v>311</v>
      </c>
      <c r="C226" s="1" t="s">
        <v>257</v>
      </c>
      <c r="D226" s="1">
        <v>3</v>
      </c>
    </row>
    <row r="227" spans="1:4" x14ac:dyDescent="0.25">
      <c r="A227" s="69"/>
      <c r="B227" s="1" t="s">
        <v>312</v>
      </c>
      <c r="C227" s="1" t="s">
        <v>257</v>
      </c>
      <c r="D227" s="1">
        <v>9.9149999999999991</v>
      </c>
    </row>
    <row r="228" spans="1:4" x14ac:dyDescent="0.25">
      <c r="A228" s="69"/>
      <c r="B228" s="1" t="s">
        <v>313</v>
      </c>
      <c r="C228" s="1" t="s">
        <v>184</v>
      </c>
      <c r="D228" s="1">
        <v>1.95</v>
      </c>
    </row>
    <row r="229" spans="1:4" x14ac:dyDescent="0.25">
      <c r="A229" s="50"/>
      <c r="B229" s="50"/>
      <c r="C229" s="50"/>
      <c r="D229" s="7">
        <f>SUM(D225:D228)</f>
        <v>16.376999999999999</v>
      </c>
    </row>
    <row r="231" spans="1:4" x14ac:dyDescent="0.25">
      <c r="A231" s="53" t="s">
        <v>329</v>
      </c>
      <c r="B231" s="1" t="s">
        <v>0</v>
      </c>
      <c r="C231" s="1" t="s">
        <v>202</v>
      </c>
      <c r="D231" s="1" t="s">
        <v>9</v>
      </c>
    </row>
    <row r="232" spans="1:4" x14ac:dyDescent="0.25">
      <c r="A232" s="54"/>
      <c r="B232" s="1" t="s">
        <v>330</v>
      </c>
      <c r="C232" s="1" t="s">
        <v>197</v>
      </c>
      <c r="D232" s="1">
        <v>3.6</v>
      </c>
    </row>
    <row r="233" spans="1:4" x14ac:dyDescent="0.25">
      <c r="A233" s="54"/>
      <c r="B233" s="1" t="s">
        <v>232</v>
      </c>
      <c r="C233" s="1" t="s">
        <v>233</v>
      </c>
      <c r="D233" s="1">
        <v>0.7</v>
      </c>
    </row>
    <row r="234" spans="1:4" x14ac:dyDescent="0.25">
      <c r="A234" s="54"/>
      <c r="B234" s="1" t="s">
        <v>331</v>
      </c>
      <c r="C234" s="1" t="s">
        <v>244</v>
      </c>
      <c r="D234" s="1">
        <v>0.6</v>
      </c>
    </row>
    <row r="235" spans="1:4" x14ac:dyDescent="0.25">
      <c r="A235" s="54"/>
      <c r="B235" s="1" t="s">
        <v>332</v>
      </c>
      <c r="C235" s="1" t="s">
        <v>165</v>
      </c>
      <c r="D235" s="1">
        <v>9.6</v>
      </c>
    </row>
    <row r="236" spans="1:4" x14ac:dyDescent="0.25">
      <c r="A236" s="55"/>
      <c r="B236" s="17" t="s">
        <v>323</v>
      </c>
      <c r="C236" s="17" t="s">
        <v>333</v>
      </c>
      <c r="D236" s="17">
        <v>4</v>
      </c>
    </row>
    <row r="237" spans="1:4" x14ac:dyDescent="0.25">
      <c r="A237" s="50"/>
      <c r="B237" s="50"/>
      <c r="C237" s="50"/>
      <c r="D237" s="7">
        <f>SUM(D232:D236)</f>
        <v>18.5</v>
      </c>
    </row>
    <row r="239" spans="1:4" x14ac:dyDescent="0.25">
      <c r="A239" s="53" t="s">
        <v>344</v>
      </c>
      <c r="B239" s="1" t="s">
        <v>0</v>
      </c>
      <c r="C239" s="1" t="s">
        <v>202</v>
      </c>
      <c r="D239" s="1" t="s">
        <v>9</v>
      </c>
    </row>
    <row r="240" spans="1:4" x14ac:dyDescent="0.25">
      <c r="A240" s="54"/>
      <c r="B240" s="1" t="s">
        <v>345</v>
      </c>
      <c r="C240" s="1" t="s">
        <v>29</v>
      </c>
      <c r="D240" s="1">
        <v>0.25</v>
      </c>
    </row>
    <row r="241" spans="1:5" x14ac:dyDescent="0.25">
      <c r="A241" s="54"/>
      <c r="B241" s="1" t="s">
        <v>346</v>
      </c>
      <c r="C241" s="1" t="s">
        <v>167</v>
      </c>
      <c r="D241" s="1">
        <v>0.1</v>
      </c>
    </row>
    <row r="242" spans="1:5" x14ac:dyDescent="0.25">
      <c r="A242" s="54"/>
      <c r="B242" s="1" t="s">
        <v>347</v>
      </c>
      <c r="C242" s="1" t="s">
        <v>167</v>
      </c>
      <c r="D242" s="1">
        <v>0.2</v>
      </c>
    </row>
    <row r="243" spans="1:5" x14ac:dyDescent="0.25">
      <c r="A243" s="54"/>
      <c r="B243" s="1" t="s">
        <v>338</v>
      </c>
      <c r="C243" s="1" t="s">
        <v>166</v>
      </c>
      <c r="D243" s="1">
        <v>0.3</v>
      </c>
    </row>
    <row r="244" spans="1:5" x14ac:dyDescent="0.25">
      <c r="A244" s="50"/>
      <c r="B244" s="50"/>
      <c r="C244" s="50"/>
      <c r="D244" s="7">
        <f>SUM(D240:D243)</f>
        <v>0.85000000000000009</v>
      </c>
    </row>
    <row r="247" spans="1:5" x14ac:dyDescent="0.25">
      <c r="A247" s="53" t="s">
        <v>258</v>
      </c>
      <c r="B247" s="1" t="s">
        <v>0</v>
      </c>
      <c r="C247" s="1" t="s">
        <v>202</v>
      </c>
      <c r="D247" s="1" t="s">
        <v>9</v>
      </c>
    </row>
    <row r="248" spans="1:5" x14ac:dyDescent="0.25">
      <c r="A248" s="54"/>
      <c r="B248" s="1" t="s">
        <v>348</v>
      </c>
      <c r="C248" s="1" t="s">
        <v>29</v>
      </c>
      <c r="D248" s="1">
        <v>0.17</v>
      </c>
      <c r="E248">
        <v>0.17</v>
      </c>
    </row>
    <row r="249" spans="1:5" x14ac:dyDescent="0.25">
      <c r="A249" s="54"/>
      <c r="B249" s="1" t="s">
        <v>349</v>
      </c>
      <c r="C249" s="1" t="s">
        <v>167</v>
      </c>
      <c r="D249" s="1">
        <v>0.03</v>
      </c>
    </row>
    <row r="250" spans="1:5" x14ac:dyDescent="0.25">
      <c r="A250" s="54"/>
      <c r="B250" s="1" t="s">
        <v>23</v>
      </c>
      <c r="C250" s="1" t="s">
        <v>167</v>
      </c>
      <c r="D250" s="1">
        <v>0.11</v>
      </c>
      <c r="E250">
        <v>0.15</v>
      </c>
    </row>
    <row r="251" spans="1:5" x14ac:dyDescent="0.25">
      <c r="A251" s="54"/>
      <c r="B251" s="1" t="s">
        <v>247</v>
      </c>
      <c r="C251" s="1" t="s">
        <v>167</v>
      </c>
      <c r="D251" s="1">
        <v>0.03</v>
      </c>
    </row>
    <row r="252" spans="1:5" x14ac:dyDescent="0.25">
      <c r="A252" s="50"/>
      <c r="B252" s="50"/>
      <c r="C252" s="50"/>
      <c r="D252" s="7">
        <f>SUM(D248:D251)</f>
        <v>0.33999999999999997</v>
      </c>
      <c r="E252">
        <f>D252*3</f>
        <v>1.02</v>
      </c>
    </row>
    <row r="255" spans="1:5" x14ac:dyDescent="0.25">
      <c r="A255" s="53" t="s">
        <v>350</v>
      </c>
      <c r="B255" s="1" t="s">
        <v>0</v>
      </c>
      <c r="C255" s="1" t="s">
        <v>202</v>
      </c>
      <c r="D255" s="1" t="s">
        <v>9</v>
      </c>
    </row>
    <row r="256" spans="1:5" x14ac:dyDescent="0.25">
      <c r="A256" s="54"/>
      <c r="B256" s="1" t="s">
        <v>351</v>
      </c>
      <c r="C256" s="1" t="s">
        <v>29</v>
      </c>
      <c r="D256" s="1">
        <v>0.3</v>
      </c>
    </row>
    <row r="257" spans="1:4" x14ac:dyDescent="0.25">
      <c r="A257" s="54"/>
      <c r="B257" s="1" t="s">
        <v>352</v>
      </c>
      <c r="C257" s="1" t="s">
        <v>29</v>
      </c>
      <c r="D257" s="1">
        <v>0.18</v>
      </c>
    </row>
    <row r="258" spans="1:4" x14ac:dyDescent="0.25">
      <c r="A258" s="54"/>
      <c r="B258" s="1" t="s">
        <v>346</v>
      </c>
      <c r="C258" s="1" t="s">
        <v>167</v>
      </c>
      <c r="D258" s="1">
        <v>0.31</v>
      </c>
    </row>
    <row r="259" spans="1:4" x14ac:dyDescent="0.25">
      <c r="A259" s="54"/>
      <c r="B259" s="1"/>
      <c r="C259" s="1"/>
      <c r="D259" s="1"/>
    </row>
    <row r="260" spans="1:4" x14ac:dyDescent="0.25">
      <c r="A260" s="50"/>
      <c r="B260" s="50"/>
      <c r="C260" s="50"/>
      <c r="D260" s="7">
        <f>SUM(D256:D258)</f>
        <v>0.79</v>
      </c>
    </row>
    <row r="262" spans="1:4" x14ac:dyDescent="0.25">
      <c r="A262" s="87" t="s">
        <v>353</v>
      </c>
      <c r="B262" s="1" t="s">
        <v>0</v>
      </c>
      <c r="C262" s="1" t="s">
        <v>202</v>
      </c>
      <c r="D262" s="1" t="s">
        <v>9</v>
      </c>
    </row>
    <row r="263" spans="1:4" x14ac:dyDescent="0.25">
      <c r="A263" s="88"/>
      <c r="B263" s="1" t="s">
        <v>354</v>
      </c>
      <c r="C263" s="1" t="s">
        <v>17</v>
      </c>
      <c r="D263" s="1">
        <v>1.75</v>
      </c>
    </row>
    <row r="264" spans="1:4" x14ac:dyDescent="0.25">
      <c r="A264" s="88"/>
      <c r="B264" s="1" t="s">
        <v>355</v>
      </c>
      <c r="C264" s="1" t="s">
        <v>12</v>
      </c>
      <c r="D264" s="1">
        <v>0.3</v>
      </c>
    </row>
    <row r="265" spans="1:4" x14ac:dyDescent="0.25">
      <c r="A265" s="88"/>
      <c r="B265" s="1" t="s">
        <v>283</v>
      </c>
      <c r="C265" s="1" t="s">
        <v>29</v>
      </c>
      <c r="D265" s="1">
        <v>0.52</v>
      </c>
    </row>
    <row r="266" spans="1:4" x14ac:dyDescent="0.25">
      <c r="A266" s="88"/>
      <c r="B266" s="1" t="s">
        <v>5</v>
      </c>
      <c r="C266" s="1" t="s">
        <v>167</v>
      </c>
      <c r="D266" s="1">
        <v>0.19</v>
      </c>
    </row>
    <row r="267" spans="1:4" x14ac:dyDescent="0.25">
      <c r="A267" s="88"/>
      <c r="B267" s="1" t="s">
        <v>358</v>
      </c>
      <c r="C267" s="1" t="s">
        <v>167</v>
      </c>
      <c r="D267" s="1">
        <v>0.2</v>
      </c>
    </row>
    <row r="268" spans="1:4" x14ac:dyDescent="0.25">
      <c r="A268" s="88"/>
      <c r="B268" s="1" t="s">
        <v>356</v>
      </c>
      <c r="C268" s="1" t="s">
        <v>357</v>
      </c>
      <c r="D268" s="1">
        <v>0.04</v>
      </c>
    </row>
    <row r="269" spans="1:4" x14ac:dyDescent="0.25">
      <c r="A269" s="50"/>
      <c r="B269" s="50"/>
      <c r="C269" s="50"/>
      <c r="D269" s="7">
        <f>SUM(D263:D268)</f>
        <v>3</v>
      </c>
    </row>
    <row r="271" spans="1:4" x14ac:dyDescent="0.25">
      <c r="A271" s="72" t="s">
        <v>359</v>
      </c>
      <c r="B271" s="1" t="s">
        <v>0</v>
      </c>
      <c r="C271" s="1" t="s">
        <v>202</v>
      </c>
      <c r="D271" s="1" t="s">
        <v>9</v>
      </c>
    </row>
    <row r="272" spans="1:4" x14ac:dyDescent="0.25">
      <c r="A272" s="73"/>
      <c r="B272" s="1" t="s">
        <v>354</v>
      </c>
      <c r="C272" s="1" t="s">
        <v>17</v>
      </c>
      <c r="D272" s="1">
        <v>1.75</v>
      </c>
    </row>
    <row r="273" spans="1:5" x14ac:dyDescent="0.25">
      <c r="A273" s="73"/>
      <c r="B273" s="1" t="s">
        <v>360</v>
      </c>
      <c r="C273" s="1" t="s">
        <v>171</v>
      </c>
      <c r="D273" s="1">
        <v>2</v>
      </c>
    </row>
    <row r="274" spans="1:5" x14ac:dyDescent="0.25">
      <c r="A274" s="73"/>
      <c r="B274" s="1" t="s">
        <v>361</v>
      </c>
      <c r="C274" s="1" t="s">
        <v>357</v>
      </c>
      <c r="D274" s="1">
        <v>2.5</v>
      </c>
    </row>
    <row r="275" spans="1:5" x14ac:dyDescent="0.25">
      <c r="A275" s="73"/>
      <c r="B275" s="1" t="s">
        <v>304</v>
      </c>
      <c r="C275" s="1" t="s">
        <v>167</v>
      </c>
      <c r="D275" s="1">
        <v>0.42499999999999999</v>
      </c>
    </row>
    <row r="276" spans="1:5" x14ac:dyDescent="0.25">
      <c r="A276" s="73"/>
      <c r="B276" s="1" t="s">
        <v>306</v>
      </c>
      <c r="C276" s="1" t="s">
        <v>12</v>
      </c>
      <c r="D276" s="1">
        <v>0.24</v>
      </c>
    </row>
    <row r="277" spans="1:5" x14ac:dyDescent="0.25">
      <c r="A277" s="50"/>
      <c r="B277" s="50"/>
      <c r="C277" s="50"/>
      <c r="D277" s="7">
        <f>SUM(D272:D276)</f>
        <v>6.915</v>
      </c>
    </row>
    <row r="279" spans="1:5" x14ac:dyDescent="0.25">
      <c r="A279" s="72" t="s">
        <v>405</v>
      </c>
      <c r="B279" s="1" t="s">
        <v>0</v>
      </c>
      <c r="C279" s="1" t="s">
        <v>395</v>
      </c>
      <c r="D279" s="1" t="s">
        <v>9</v>
      </c>
      <c r="E279" s="86" t="s">
        <v>404</v>
      </c>
    </row>
    <row r="280" spans="1:5" x14ac:dyDescent="0.25">
      <c r="A280" s="73"/>
      <c r="B280" s="1" t="s">
        <v>396</v>
      </c>
      <c r="C280" s="1" t="s">
        <v>333</v>
      </c>
      <c r="D280" s="1">
        <v>9</v>
      </c>
      <c r="E280" s="86"/>
    </row>
    <row r="281" spans="1:5" x14ac:dyDescent="0.25">
      <c r="A281" s="73"/>
      <c r="B281" s="1" t="s">
        <v>397</v>
      </c>
      <c r="C281" s="1" t="s">
        <v>10</v>
      </c>
      <c r="D281" s="1">
        <v>4.5999999999999996</v>
      </c>
      <c r="E281" s="86"/>
    </row>
    <row r="282" spans="1:5" x14ac:dyDescent="0.25">
      <c r="A282" s="73"/>
      <c r="B282" s="1" t="s">
        <v>398</v>
      </c>
      <c r="C282" s="1" t="s">
        <v>10</v>
      </c>
      <c r="D282" s="1">
        <v>5.2</v>
      </c>
      <c r="E282" s="86"/>
    </row>
    <row r="283" spans="1:5" x14ac:dyDescent="0.25">
      <c r="A283" s="73"/>
      <c r="B283" s="1" t="s">
        <v>399</v>
      </c>
      <c r="C283" s="1" t="s">
        <v>10</v>
      </c>
      <c r="D283" s="1">
        <v>7</v>
      </c>
      <c r="E283" s="86"/>
    </row>
    <row r="284" spans="1:5" x14ac:dyDescent="0.25">
      <c r="A284" s="73"/>
      <c r="B284" s="1" t="s">
        <v>5</v>
      </c>
      <c r="C284" s="1" t="s">
        <v>10</v>
      </c>
      <c r="D284" s="1">
        <v>3.7</v>
      </c>
      <c r="E284" s="86"/>
    </row>
    <row r="285" spans="1:5" x14ac:dyDescent="0.25">
      <c r="A285" s="73"/>
      <c r="B285" s="1" t="s">
        <v>400</v>
      </c>
      <c r="C285" s="1" t="s">
        <v>10</v>
      </c>
      <c r="D285" s="1">
        <v>3</v>
      </c>
      <c r="E285" s="86"/>
    </row>
    <row r="286" spans="1:5" x14ac:dyDescent="0.25">
      <c r="A286" s="73"/>
      <c r="B286" s="1" t="s">
        <v>401</v>
      </c>
      <c r="C286" s="1" t="s">
        <v>10</v>
      </c>
      <c r="D286" s="1">
        <v>2.5</v>
      </c>
      <c r="E286" s="86"/>
    </row>
    <row r="287" spans="1:5" x14ac:dyDescent="0.25">
      <c r="A287" s="73"/>
      <c r="B287" s="1" t="s">
        <v>402</v>
      </c>
      <c r="C287" s="1" t="s">
        <v>10</v>
      </c>
      <c r="D287" s="1">
        <v>0.7</v>
      </c>
      <c r="E287" s="86"/>
    </row>
    <row r="288" spans="1:5" x14ac:dyDescent="0.25">
      <c r="A288" s="73"/>
      <c r="B288" s="1" t="s">
        <v>30</v>
      </c>
      <c r="C288" s="1" t="s">
        <v>333</v>
      </c>
      <c r="D288" s="1">
        <v>12</v>
      </c>
      <c r="E288" s="86"/>
    </row>
    <row r="289" spans="1:5" x14ac:dyDescent="0.25">
      <c r="A289" s="73"/>
      <c r="B289" s="1" t="s">
        <v>403</v>
      </c>
      <c r="C289" s="1" t="s">
        <v>10</v>
      </c>
      <c r="D289" s="1">
        <v>2.7</v>
      </c>
      <c r="E289" s="86"/>
    </row>
    <row r="290" spans="1:5" x14ac:dyDescent="0.25">
      <c r="A290" s="50" t="s">
        <v>199</v>
      </c>
      <c r="B290" s="50"/>
      <c r="C290" s="50"/>
      <c r="D290" s="7">
        <f>SUM(D280:D289)</f>
        <v>50.400000000000006</v>
      </c>
      <c r="E290" s="86"/>
    </row>
    <row r="291" spans="1:5" x14ac:dyDescent="0.25">
      <c r="A291" s="56" t="s">
        <v>406</v>
      </c>
      <c r="B291" s="56"/>
      <c r="C291" s="56"/>
      <c r="D291" s="56"/>
      <c r="E291" s="1" t="s">
        <v>407</v>
      </c>
    </row>
    <row r="297" spans="1:5" x14ac:dyDescent="0.25">
      <c r="A297" s="72" t="s">
        <v>408</v>
      </c>
      <c r="B297" s="1" t="s">
        <v>0</v>
      </c>
      <c r="C297" s="1" t="s">
        <v>202</v>
      </c>
      <c r="D297" s="1" t="s">
        <v>9</v>
      </c>
    </row>
    <row r="298" spans="1:5" x14ac:dyDescent="0.25">
      <c r="A298" s="73"/>
      <c r="B298" s="1" t="s">
        <v>409</v>
      </c>
      <c r="C298" s="1" t="s">
        <v>410</v>
      </c>
      <c r="D298" s="1">
        <v>2.85</v>
      </c>
    </row>
    <row r="299" spans="1:5" x14ac:dyDescent="0.25">
      <c r="A299" s="73"/>
      <c r="B299" s="1" t="s">
        <v>405</v>
      </c>
      <c r="C299" s="1" t="s">
        <v>166</v>
      </c>
      <c r="D299" s="1">
        <v>0.34499999999999997</v>
      </c>
    </row>
    <row r="300" spans="1:5" x14ac:dyDescent="0.25">
      <c r="A300" s="73"/>
      <c r="B300" s="1" t="s">
        <v>295</v>
      </c>
      <c r="C300" s="1" t="s">
        <v>29</v>
      </c>
      <c r="D300" s="1">
        <v>0.11</v>
      </c>
    </row>
    <row r="301" spans="1:5" x14ac:dyDescent="0.25">
      <c r="A301" s="73"/>
      <c r="B301" s="1"/>
      <c r="C301" s="1"/>
      <c r="D301" s="1"/>
    </row>
    <row r="302" spans="1:5" x14ac:dyDescent="0.25">
      <c r="A302" s="73"/>
      <c r="B302" s="1"/>
      <c r="C302" s="1"/>
      <c r="D302" s="1"/>
    </row>
    <row r="303" spans="1:5" x14ac:dyDescent="0.25">
      <c r="A303" s="50"/>
      <c r="B303" s="50"/>
      <c r="C303" s="50"/>
      <c r="D303" s="7">
        <f>SUM(D298:D302)</f>
        <v>3.3050000000000002</v>
      </c>
    </row>
    <row r="306" spans="1:4" x14ac:dyDescent="0.25">
      <c r="A306" s="72" t="s">
        <v>323</v>
      </c>
      <c r="B306" s="1" t="s">
        <v>0</v>
      </c>
      <c r="C306" s="1" t="s">
        <v>202</v>
      </c>
      <c r="D306" s="1" t="s">
        <v>9</v>
      </c>
    </row>
    <row r="307" spans="1:4" x14ac:dyDescent="0.25">
      <c r="A307" s="73"/>
      <c r="B307" s="1" t="s">
        <v>323</v>
      </c>
      <c r="C307" s="1" t="s">
        <v>333</v>
      </c>
      <c r="D307" s="1">
        <v>5</v>
      </c>
    </row>
    <row r="308" spans="1:4" x14ac:dyDescent="0.25">
      <c r="A308" s="73"/>
      <c r="B308" s="1" t="s">
        <v>232</v>
      </c>
      <c r="C308" s="1" t="s">
        <v>532</v>
      </c>
      <c r="D308" s="1">
        <v>1.4</v>
      </c>
    </row>
    <row r="309" spans="1:4" x14ac:dyDescent="0.25">
      <c r="A309" s="73"/>
      <c r="B309" s="1" t="s">
        <v>411</v>
      </c>
      <c r="C309" s="1" t="s">
        <v>13</v>
      </c>
      <c r="D309" s="1">
        <v>4.25</v>
      </c>
    </row>
    <row r="310" spans="1:4" x14ac:dyDescent="0.25">
      <c r="A310" s="73"/>
      <c r="B310" s="1" t="s">
        <v>412</v>
      </c>
      <c r="C310" s="1" t="s">
        <v>165</v>
      </c>
      <c r="D310" s="1">
        <v>9</v>
      </c>
    </row>
    <row r="311" spans="1:4" x14ac:dyDescent="0.25">
      <c r="A311" s="73"/>
      <c r="B311" s="1" t="s">
        <v>337</v>
      </c>
      <c r="C311" s="1" t="s">
        <v>14</v>
      </c>
      <c r="D311" s="1">
        <v>0.9</v>
      </c>
    </row>
    <row r="312" spans="1:4" x14ac:dyDescent="0.25">
      <c r="A312" s="73"/>
      <c r="B312" s="1" t="s">
        <v>330</v>
      </c>
      <c r="C312" s="1" t="s">
        <v>244</v>
      </c>
      <c r="D312" s="1">
        <v>3.6</v>
      </c>
    </row>
    <row r="313" spans="1:4" x14ac:dyDescent="0.25">
      <c r="A313" s="73"/>
      <c r="B313" s="1" t="s">
        <v>331</v>
      </c>
      <c r="C313" s="1" t="s">
        <v>244</v>
      </c>
      <c r="D313" s="1">
        <v>0.6</v>
      </c>
    </row>
    <row r="314" spans="1:4" x14ac:dyDescent="0.25">
      <c r="A314" s="50"/>
      <c r="B314" s="50"/>
      <c r="C314" s="50"/>
      <c r="D314" s="7">
        <f>SUM(D307:D313)</f>
        <v>24.75</v>
      </c>
    </row>
    <row r="316" spans="1:4" x14ac:dyDescent="0.25">
      <c r="A316" s="72" t="s">
        <v>512</v>
      </c>
      <c r="B316" s="1" t="s">
        <v>0</v>
      </c>
      <c r="C316" s="1" t="s">
        <v>202</v>
      </c>
      <c r="D316" s="1" t="s">
        <v>9</v>
      </c>
    </row>
    <row r="317" spans="1:4" x14ac:dyDescent="0.25">
      <c r="A317" s="73"/>
      <c r="B317" s="1" t="s">
        <v>210</v>
      </c>
      <c r="C317" s="1" t="s">
        <v>223</v>
      </c>
      <c r="D317" s="1">
        <v>1.5</v>
      </c>
    </row>
    <row r="318" spans="1:4" x14ac:dyDescent="0.25">
      <c r="A318" s="73"/>
      <c r="B318" s="1" t="s">
        <v>283</v>
      </c>
      <c r="C318" s="1" t="s">
        <v>197</v>
      </c>
      <c r="D318" s="1">
        <v>2</v>
      </c>
    </row>
    <row r="319" spans="1:4" x14ac:dyDescent="0.25">
      <c r="A319" s="73"/>
      <c r="B319" s="1" t="s">
        <v>510</v>
      </c>
      <c r="C319" s="1" t="s">
        <v>171</v>
      </c>
      <c r="D319" s="1">
        <v>0.05</v>
      </c>
    </row>
    <row r="320" spans="1:4" x14ac:dyDescent="0.25">
      <c r="A320" s="73"/>
      <c r="B320" s="1" t="s">
        <v>511</v>
      </c>
      <c r="C320" s="1" t="s">
        <v>168</v>
      </c>
      <c r="D320" s="1">
        <v>0.32</v>
      </c>
    </row>
    <row r="321" spans="1:4" x14ac:dyDescent="0.25">
      <c r="A321" s="73"/>
      <c r="B321" s="1"/>
      <c r="C321" s="1"/>
      <c r="D321" s="1"/>
    </row>
    <row r="322" spans="1:4" x14ac:dyDescent="0.25">
      <c r="A322" s="50"/>
      <c r="B322" s="50"/>
      <c r="C322" s="50"/>
      <c r="D322" s="7">
        <f>SUM(D317:D321)</f>
        <v>3.8699999999999997</v>
      </c>
    </row>
    <row r="325" spans="1:4" x14ac:dyDescent="0.25">
      <c r="A325" s="72" t="s">
        <v>513</v>
      </c>
      <c r="B325" s="1" t="s">
        <v>0</v>
      </c>
      <c r="C325" s="1" t="s">
        <v>202</v>
      </c>
      <c r="D325" s="1" t="s">
        <v>9</v>
      </c>
    </row>
    <row r="326" spans="1:4" x14ac:dyDescent="0.25">
      <c r="A326" s="73"/>
      <c r="B326" s="1" t="s">
        <v>514</v>
      </c>
      <c r="C326" s="1" t="s">
        <v>515</v>
      </c>
      <c r="D326" s="1">
        <v>12</v>
      </c>
    </row>
    <row r="327" spans="1:4" x14ac:dyDescent="0.25">
      <c r="A327" s="73"/>
      <c r="B327" s="1" t="s">
        <v>320</v>
      </c>
      <c r="C327" s="1" t="s">
        <v>15</v>
      </c>
      <c r="D327" s="1">
        <v>3</v>
      </c>
    </row>
    <row r="328" spans="1:4" x14ac:dyDescent="0.25">
      <c r="A328" s="73"/>
      <c r="B328" s="1"/>
      <c r="C328" s="1"/>
      <c r="D328" s="1"/>
    </row>
    <row r="329" spans="1:4" x14ac:dyDescent="0.25">
      <c r="A329" s="73"/>
      <c r="B329" s="1"/>
      <c r="C329" s="1"/>
      <c r="D329" s="1"/>
    </row>
    <row r="330" spans="1:4" x14ac:dyDescent="0.25">
      <c r="A330" s="73"/>
      <c r="B330" s="1"/>
      <c r="C330" s="1"/>
      <c r="D330" s="1"/>
    </row>
    <row r="331" spans="1:4" x14ac:dyDescent="0.25">
      <c r="A331" s="50"/>
      <c r="B331" s="50"/>
      <c r="C331" s="50"/>
      <c r="D331" s="7">
        <f>SUM(D326:D330)</f>
        <v>15</v>
      </c>
    </row>
    <row r="334" spans="1:4" x14ac:dyDescent="0.25">
      <c r="A334" s="72" t="s">
        <v>288</v>
      </c>
      <c r="B334" s="1" t="s">
        <v>0</v>
      </c>
      <c r="C334" s="1" t="s">
        <v>202</v>
      </c>
      <c r="D334" s="1" t="s">
        <v>9</v>
      </c>
    </row>
    <row r="335" spans="1:4" x14ac:dyDescent="0.25">
      <c r="A335" s="73"/>
      <c r="B335" s="1" t="s">
        <v>230</v>
      </c>
      <c r="C335" s="1" t="s">
        <v>533</v>
      </c>
      <c r="D335" s="1">
        <v>5.2</v>
      </c>
    </row>
    <row r="336" spans="1:4" x14ac:dyDescent="0.25">
      <c r="A336" s="73"/>
      <c r="B336" s="1" t="s">
        <v>534</v>
      </c>
      <c r="C336" s="1" t="s">
        <v>171</v>
      </c>
      <c r="D336" s="1">
        <v>0.6</v>
      </c>
    </row>
    <row r="337" spans="1:5" x14ac:dyDescent="0.25">
      <c r="A337" s="73"/>
      <c r="B337" s="1" t="s">
        <v>535</v>
      </c>
      <c r="C337" s="1" t="s">
        <v>536</v>
      </c>
      <c r="D337" s="1">
        <v>0.18</v>
      </c>
    </row>
    <row r="338" spans="1:5" x14ac:dyDescent="0.25">
      <c r="A338" s="73"/>
      <c r="B338" s="1" t="s">
        <v>537</v>
      </c>
      <c r="C338" s="1" t="s">
        <v>13</v>
      </c>
      <c r="D338" s="1">
        <f>3.63/2</f>
        <v>1.8149999999999999</v>
      </c>
    </row>
    <row r="339" spans="1:5" x14ac:dyDescent="0.25">
      <c r="A339" s="73"/>
      <c r="B339" s="1" t="s">
        <v>22</v>
      </c>
      <c r="C339" s="1" t="s">
        <v>170</v>
      </c>
      <c r="D339" s="1">
        <v>0.34</v>
      </c>
    </row>
    <row r="340" spans="1:5" x14ac:dyDescent="0.25">
      <c r="A340" s="73"/>
      <c r="B340" s="1" t="s">
        <v>331</v>
      </c>
      <c r="C340" s="1" t="s">
        <v>165</v>
      </c>
      <c r="D340" s="1">
        <v>0.48</v>
      </c>
    </row>
    <row r="341" spans="1:5" x14ac:dyDescent="0.25">
      <c r="A341" s="50"/>
      <c r="B341" s="50"/>
      <c r="C341" s="50"/>
      <c r="D341" s="7">
        <f>SUM(D335:D340)</f>
        <v>8.6150000000000002</v>
      </c>
      <c r="E341">
        <f>D341/13</f>
        <v>0.66269230769230769</v>
      </c>
    </row>
    <row r="347" spans="1:5" x14ac:dyDescent="0.25">
      <c r="A347" s="72" t="s">
        <v>541</v>
      </c>
      <c r="B347" s="1" t="s">
        <v>0</v>
      </c>
      <c r="C347" s="1" t="s">
        <v>202</v>
      </c>
      <c r="D347" s="1" t="s">
        <v>9</v>
      </c>
    </row>
    <row r="348" spans="1:5" x14ac:dyDescent="0.25">
      <c r="A348" s="73"/>
      <c r="B348" s="1" t="s">
        <v>542</v>
      </c>
      <c r="C348" s="1" t="s">
        <v>543</v>
      </c>
      <c r="D348" s="1">
        <v>12.5</v>
      </c>
    </row>
    <row r="349" spans="1:5" x14ac:dyDescent="0.25">
      <c r="A349" s="73"/>
      <c r="B349" s="1" t="s">
        <v>211</v>
      </c>
      <c r="C349" s="1" t="s">
        <v>544</v>
      </c>
      <c r="D349" s="1">
        <v>3.6</v>
      </c>
    </row>
    <row r="350" spans="1:5" x14ac:dyDescent="0.25">
      <c r="A350" s="73"/>
      <c r="B350" s="1"/>
      <c r="C350" s="1"/>
      <c r="D350" s="1"/>
    </row>
    <row r="351" spans="1:5" x14ac:dyDescent="0.25">
      <c r="A351" s="73"/>
      <c r="B351" s="1"/>
      <c r="C351" s="1"/>
      <c r="D351" s="1"/>
    </row>
    <row r="352" spans="1:5" ht="15" customHeight="1" x14ac:dyDescent="0.25">
      <c r="A352" s="93"/>
      <c r="B352" s="1"/>
      <c r="C352" s="1"/>
      <c r="D352" s="1"/>
    </row>
    <row r="353" spans="1:4" x14ac:dyDescent="0.25">
      <c r="A353" s="50"/>
      <c r="B353" s="50"/>
      <c r="C353" s="50"/>
      <c r="D353" s="7">
        <f>SUM(D348:D352)</f>
        <v>16.100000000000001</v>
      </c>
    </row>
    <row r="355" spans="1:4" x14ac:dyDescent="0.25">
      <c r="A355" s="51" t="s">
        <v>601</v>
      </c>
      <c r="B355" s="1" t="s">
        <v>0</v>
      </c>
      <c r="C355" s="1" t="s">
        <v>202</v>
      </c>
      <c r="D355" s="1" t="s">
        <v>9</v>
      </c>
    </row>
    <row r="356" spans="1:4" x14ac:dyDescent="0.25">
      <c r="A356" s="52"/>
      <c r="B356" s="1" t="s">
        <v>602</v>
      </c>
      <c r="C356" s="1" t="s">
        <v>14</v>
      </c>
      <c r="D356" s="1">
        <v>3.54</v>
      </c>
    </row>
    <row r="357" spans="1:4" x14ac:dyDescent="0.25">
      <c r="A357" s="52"/>
      <c r="B357" s="1" t="s">
        <v>603</v>
      </c>
      <c r="C357" s="1" t="s">
        <v>292</v>
      </c>
      <c r="D357" s="1">
        <v>1.88</v>
      </c>
    </row>
    <row r="358" spans="1:4" x14ac:dyDescent="0.25">
      <c r="A358" s="52"/>
      <c r="B358" s="1" t="s">
        <v>460</v>
      </c>
      <c r="C358" s="1" t="s">
        <v>174</v>
      </c>
      <c r="D358" s="1">
        <v>1.62</v>
      </c>
    </row>
    <row r="359" spans="1:4" x14ac:dyDescent="0.25">
      <c r="A359" s="52"/>
      <c r="B359" s="1" t="s">
        <v>604</v>
      </c>
      <c r="C359" s="1" t="s">
        <v>165</v>
      </c>
      <c r="D359" s="1">
        <v>2</v>
      </c>
    </row>
    <row r="360" spans="1:4" x14ac:dyDescent="0.25">
      <c r="A360" s="52"/>
      <c r="B360" s="1" t="s">
        <v>605</v>
      </c>
      <c r="C360" s="1" t="s">
        <v>11</v>
      </c>
      <c r="D360" s="1">
        <v>0.77</v>
      </c>
    </row>
    <row r="361" spans="1:4" x14ac:dyDescent="0.25">
      <c r="A361" s="50"/>
      <c r="B361" s="50"/>
      <c r="C361" s="50"/>
      <c r="D361" s="7">
        <f>SUM(D356:D360)</f>
        <v>9.8099999999999987</v>
      </c>
    </row>
    <row r="363" spans="1:4" x14ac:dyDescent="0.25">
      <c r="A363" s="44" t="s">
        <v>609</v>
      </c>
      <c r="B363" s="1" t="s">
        <v>0</v>
      </c>
      <c r="C363" s="1" t="s">
        <v>202</v>
      </c>
      <c r="D363" s="1" t="s">
        <v>9</v>
      </c>
    </row>
    <row r="364" spans="1:4" x14ac:dyDescent="0.25">
      <c r="A364" s="45"/>
      <c r="B364" s="1" t="s">
        <v>610</v>
      </c>
      <c r="C364" s="1" t="s">
        <v>11</v>
      </c>
      <c r="D364" s="1">
        <v>1</v>
      </c>
    </row>
    <row r="365" spans="1:4" x14ac:dyDescent="0.25">
      <c r="A365" s="45"/>
      <c r="B365" s="1" t="s">
        <v>22</v>
      </c>
      <c r="C365" s="1" t="s">
        <v>250</v>
      </c>
      <c r="D365" s="1">
        <v>0.9</v>
      </c>
    </row>
    <row r="366" spans="1:4" x14ac:dyDescent="0.25">
      <c r="A366" s="46"/>
      <c r="B366" s="1" t="s">
        <v>356</v>
      </c>
      <c r="C366" s="1" t="s">
        <v>11</v>
      </c>
      <c r="D366" s="1">
        <v>0.36</v>
      </c>
    </row>
    <row r="367" spans="1:4" x14ac:dyDescent="0.25">
      <c r="A367" s="47"/>
      <c r="B367" s="48"/>
      <c r="C367" s="49"/>
      <c r="D367" s="7">
        <f>SUM(D364:D366)</f>
        <v>2.2599999999999998</v>
      </c>
    </row>
    <row r="370" spans="1:4" x14ac:dyDescent="0.25">
      <c r="A370" s="44" t="s">
        <v>261</v>
      </c>
      <c r="B370" s="1" t="s">
        <v>0</v>
      </c>
      <c r="C370" s="1" t="s">
        <v>202</v>
      </c>
      <c r="D370" s="1" t="s">
        <v>9</v>
      </c>
    </row>
    <row r="371" spans="1:4" x14ac:dyDescent="0.25">
      <c r="A371" s="45"/>
      <c r="B371" s="1" t="s">
        <v>516</v>
      </c>
      <c r="C371" s="1" t="s">
        <v>17</v>
      </c>
      <c r="D371" s="1">
        <v>0.85799999999999998</v>
      </c>
    </row>
    <row r="372" spans="1:4" x14ac:dyDescent="0.25">
      <c r="A372" s="45"/>
      <c r="B372" s="1" t="s">
        <v>340</v>
      </c>
      <c r="C372" s="1" t="s">
        <v>168</v>
      </c>
      <c r="D372" s="1">
        <v>0.4</v>
      </c>
    </row>
    <row r="373" spans="1:4" x14ac:dyDescent="0.25">
      <c r="A373" s="45"/>
      <c r="B373" s="1" t="s">
        <v>262</v>
      </c>
      <c r="C373" s="1" t="s">
        <v>167</v>
      </c>
      <c r="D373" s="1">
        <v>0.24</v>
      </c>
    </row>
    <row r="374" spans="1:4" x14ac:dyDescent="0.25">
      <c r="A374" s="45"/>
      <c r="B374" s="1" t="s">
        <v>358</v>
      </c>
      <c r="C374" s="1" t="s">
        <v>167</v>
      </c>
      <c r="D374" s="1">
        <v>0.5</v>
      </c>
    </row>
    <row r="375" spans="1:4" x14ac:dyDescent="0.25">
      <c r="A375" s="45"/>
      <c r="B375" s="1" t="s">
        <v>611</v>
      </c>
      <c r="C375" s="1" t="s">
        <v>167</v>
      </c>
      <c r="D375" s="1">
        <v>0.12</v>
      </c>
    </row>
    <row r="376" spans="1:4" x14ac:dyDescent="0.25">
      <c r="A376" s="45"/>
      <c r="B376" s="1" t="s">
        <v>612</v>
      </c>
      <c r="C376" s="1" t="s">
        <v>357</v>
      </c>
      <c r="D376" s="1">
        <v>0.85</v>
      </c>
    </row>
    <row r="377" spans="1:4" x14ac:dyDescent="0.25">
      <c r="A377" s="45"/>
      <c r="B377" s="1" t="s">
        <v>273</v>
      </c>
      <c r="C377" s="1" t="s">
        <v>180</v>
      </c>
      <c r="D377" s="1">
        <v>1.61</v>
      </c>
    </row>
    <row r="378" spans="1:4" x14ac:dyDescent="0.25">
      <c r="A378" s="50"/>
      <c r="B378" s="50"/>
      <c r="C378" s="50"/>
      <c r="D378" s="7">
        <f>SUM(D371:D377)</f>
        <v>4.5780000000000003</v>
      </c>
    </row>
  </sheetData>
  <mergeCells count="95">
    <mergeCell ref="A303:C303"/>
    <mergeCell ref="A306:A313"/>
    <mergeCell ref="A314:C314"/>
    <mergeCell ref="A170:D170"/>
    <mergeCell ref="A279:A289"/>
    <mergeCell ref="A290:C290"/>
    <mergeCell ref="A237:C237"/>
    <mergeCell ref="A239:A243"/>
    <mergeCell ref="A353:C353"/>
    <mergeCell ref="A316:A321"/>
    <mergeCell ref="A322:C322"/>
    <mergeCell ref="A325:A330"/>
    <mergeCell ref="A331:C331"/>
    <mergeCell ref="A334:A340"/>
    <mergeCell ref="A341:C341"/>
    <mergeCell ref="A347:A352"/>
    <mergeCell ref="D140:E140"/>
    <mergeCell ref="D141:E141"/>
    <mergeCell ref="D144:E144"/>
    <mergeCell ref="B119:B129"/>
    <mergeCell ref="B132:B134"/>
    <mergeCell ref="B135:D135"/>
    <mergeCell ref="B130:D130"/>
    <mergeCell ref="A136:D136"/>
    <mergeCell ref="A119:A135"/>
    <mergeCell ref="A138:A143"/>
    <mergeCell ref="D142:E142"/>
    <mergeCell ref="D143:E143"/>
    <mergeCell ref="A144:C144"/>
    <mergeCell ref="D138:E138"/>
    <mergeCell ref="D139:E139"/>
    <mergeCell ref="E279:E290"/>
    <mergeCell ref="A291:D291"/>
    <mergeCell ref="A297:A302"/>
    <mergeCell ref="A172:A179"/>
    <mergeCell ref="A182:A189"/>
    <mergeCell ref="A197:A203"/>
    <mergeCell ref="A224:A228"/>
    <mergeCell ref="A244:C244"/>
    <mergeCell ref="A247:A251"/>
    <mergeCell ref="A252:C252"/>
    <mergeCell ref="A255:A259"/>
    <mergeCell ref="A260:C260"/>
    <mergeCell ref="A229:C229"/>
    <mergeCell ref="A231:A236"/>
    <mergeCell ref="A262:A268"/>
    <mergeCell ref="A269:C269"/>
    <mergeCell ref="C2:C8"/>
    <mergeCell ref="C9:E9"/>
    <mergeCell ref="C10:C27"/>
    <mergeCell ref="C29:C35"/>
    <mergeCell ref="C28:E28"/>
    <mergeCell ref="A271:A276"/>
    <mergeCell ref="A277:C277"/>
    <mergeCell ref="B169:D169"/>
    <mergeCell ref="A215:A221"/>
    <mergeCell ref="A222:C222"/>
    <mergeCell ref="A206:A212"/>
    <mergeCell ref="A213:C213"/>
    <mergeCell ref="A147:A169"/>
    <mergeCell ref="B147:B161"/>
    <mergeCell ref="B162:D162"/>
    <mergeCell ref="B164:B168"/>
    <mergeCell ref="A116:C116"/>
    <mergeCell ref="A117:D117"/>
    <mergeCell ref="A66:D67"/>
    <mergeCell ref="E66:F67"/>
    <mergeCell ref="B69:B73"/>
    <mergeCell ref="B74:D74"/>
    <mergeCell ref="B75:B78"/>
    <mergeCell ref="A69:A78"/>
    <mergeCell ref="A79:D79"/>
    <mergeCell ref="B112:B115"/>
    <mergeCell ref="A97:A115"/>
    <mergeCell ref="B111:D111"/>
    <mergeCell ref="B97:B100"/>
    <mergeCell ref="B101:D101"/>
    <mergeCell ref="B103:B110"/>
    <mergeCell ref="A80:D80"/>
    <mergeCell ref="B1:F1"/>
    <mergeCell ref="A363:A366"/>
    <mergeCell ref="A367:C367"/>
    <mergeCell ref="A370:A377"/>
    <mergeCell ref="A378:C378"/>
    <mergeCell ref="A355:A360"/>
    <mergeCell ref="A361:C361"/>
    <mergeCell ref="C60:C64"/>
    <mergeCell ref="C65:E65"/>
    <mergeCell ref="B60:B65"/>
    <mergeCell ref="A2:A65"/>
    <mergeCell ref="B59:E59"/>
    <mergeCell ref="B2:B35"/>
    <mergeCell ref="B38:B58"/>
    <mergeCell ref="B36:E36"/>
    <mergeCell ref="C38:C58"/>
  </mergeCells>
  <pageMargins left="0.7" right="0.7" top="0.75" bottom="0.75" header="0.3" footer="0.3"/>
  <pageSetup paperSize="9" scale="74" orientation="portrait" horizontalDpi="360" verticalDpi="360" r:id="rId1"/>
  <rowBreaks count="1" manualBreakCount="1">
    <brk id="67"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1C2B4-07A5-4C40-A257-178C0DC30018}">
  <dimension ref="A1:F370"/>
  <sheetViews>
    <sheetView topLeftCell="A28" zoomScale="106" zoomScaleNormal="106" workbookViewId="0">
      <selection activeCell="F38" sqref="F38"/>
    </sheetView>
  </sheetViews>
  <sheetFormatPr baseColWidth="10" defaultRowHeight="15" x14ac:dyDescent="0.25"/>
  <cols>
    <col min="1" max="1" width="13.42578125" customWidth="1"/>
    <col min="2" max="2" width="19.140625" customWidth="1"/>
    <col min="3" max="3" width="15" customWidth="1"/>
    <col min="4" max="4" width="18.5703125" bestFit="1" customWidth="1"/>
    <col min="7" max="7" width="19.85546875" customWidth="1"/>
    <col min="8" max="8" width="14" customWidth="1"/>
  </cols>
  <sheetData>
    <row r="1" spans="1:6" ht="27.75" customHeight="1" x14ac:dyDescent="0.25">
      <c r="B1" s="43" t="s">
        <v>919</v>
      </c>
      <c r="C1" s="43"/>
      <c r="D1" s="43"/>
      <c r="E1" s="43"/>
      <c r="F1" s="43"/>
    </row>
    <row r="2" spans="1:6" ht="15" customHeight="1" x14ac:dyDescent="0.25">
      <c r="A2" s="57" t="s">
        <v>309</v>
      </c>
      <c r="B2" s="58" t="s">
        <v>242</v>
      </c>
      <c r="C2" s="79" t="s">
        <v>260</v>
      </c>
      <c r="D2" s="1" t="s">
        <v>0</v>
      </c>
      <c r="E2" s="1" t="s">
        <v>202</v>
      </c>
      <c r="F2" s="1" t="s">
        <v>9</v>
      </c>
    </row>
    <row r="3" spans="1:6" x14ac:dyDescent="0.25">
      <c r="A3" s="57"/>
      <c r="B3" s="58"/>
      <c r="C3" s="80"/>
      <c r="D3" s="1" t="s">
        <v>22</v>
      </c>
      <c r="E3" s="3" t="s">
        <v>174</v>
      </c>
      <c r="F3" s="1">
        <f>0.17*6</f>
        <v>1.02</v>
      </c>
    </row>
    <row r="4" spans="1:6" x14ac:dyDescent="0.25">
      <c r="A4" s="57"/>
      <c r="B4" s="58"/>
      <c r="C4" s="80"/>
      <c r="D4" s="1" t="s">
        <v>243</v>
      </c>
      <c r="E4" s="3" t="s">
        <v>244</v>
      </c>
      <c r="F4" s="1">
        <v>2.04</v>
      </c>
    </row>
    <row r="5" spans="1:6" x14ac:dyDescent="0.25">
      <c r="A5" s="57"/>
      <c r="B5" s="58"/>
      <c r="C5" s="80"/>
      <c r="D5" s="1" t="s">
        <v>245</v>
      </c>
      <c r="E5" s="3">
        <v>3</v>
      </c>
      <c r="F5" s="1">
        <f>0.414*3</f>
        <v>1.242</v>
      </c>
    </row>
    <row r="6" spans="1:6" x14ac:dyDescent="0.25">
      <c r="A6" s="57"/>
      <c r="B6" s="58"/>
      <c r="C6" s="80"/>
      <c r="D6" s="1" t="s">
        <v>247</v>
      </c>
      <c r="E6" s="3" t="s">
        <v>14</v>
      </c>
      <c r="F6" s="1">
        <v>0.51700000000000002</v>
      </c>
    </row>
    <row r="7" spans="1:6" x14ac:dyDescent="0.25">
      <c r="A7" s="57"/>
      <c r="B7" s="58"/>
      <c r="C7" s="80"/>
      <c r="D7" s="1" t="s">
        <v>248</v>
      </c>
      <c r="E7" s="1" t="s">
        <v>171</v>
      </c>
      <c r="F7" s="41">
        <v>0.63</v>
      </c>
    </row>
    <row r="8" spans="1:6" x14ac:dyDescent="0.25">
      <c r="A8" s="57"/>
      <c r="B8" s="58"/>
      <c r="C8" s="81"/>
      <c r="D8" s="42" t="s">
        <v>249</v>
      </c>
      <c r="E8" s="1" t="s">
        <v>250</v>
      </c>
      <c r="F8" s="1">
        <v>2.6549999999999998</v>
      </c>
    </row>
    <row r="9" spans="1:6" x14ac:dyDescent="0.25">
      <c r="A9" s="57"/>
      <c r="B9" s="58"/>
      <c r="C9" s="60"/>
      <c r="D9" s="61"/>
      <c r="E9" s="62"/>
      <c r="F9" s="7">
        <f>SUM(F3:F8)</f>
        <v>8.1039999999999992</v>
      </c>
    </row>
    <row r="10" spans="1:6" x14ac:dyDescent="0.25">
      <c r="A10" s="57"/>
      <c r="B10" s="58"/>
      <c r="C10" s="79" t="s">
        <v>261</v>
      </c>
      <c r="D10" s="1" t="s">
        <v>256</v>
      </c>
      <c r="E10" s="3" t="s">
        <v>257</v>
      </c>
      <c r="F10" s="1">
        <v>0.5</v>
      </c>
    </row>
    <row r="11" spans="1:6" x14ac:dyDescent="0.25">
      <c r="A11" s="57"/>
      <c r="B11" s="58"/>
      <c r="C11" s="80"/>
      <c r="D11" s="1" t="s">
        <v>258</v>
      </c>
      <c r="E11" s="3" t="s">
        <v>257</v>
      </c>
      <c r="F11" s="1">
        <v>0.95</v>
      </c>
    </row>
    <row r="12" spans="1:6" ht="15" customHeight="1" x14ac:dyDescent="0.25">
      <c r="A12" s="57"/>
      <c r="B12" s="58"/>
      <c r="C12" s="80"/>
      <c r="D12" s="1" t="s">
        <v>259</v>
      </c>
      <c r="E12" s="3" t="s">
        <v>257</v>
      </c>
      <c r="F12" s="1">
        <v>0.95</v>
      </c>
    </row>
    <row r="13" spans="1:6" x14ac:dyDescent="0.25">
      <c r="A13" s="57"/>
      <c r="B13" s="58"/>
      <c r="C13" s="80"/>
      <c r="D13" s="1" t="s">
        <v>394</v>
      </c>
      <c r="E13" s="3" t="s">
        <v>257</v>
      </c>
      <c r="F13" s="1">
        <v>0.6</v>
      </c>
    </row>
    <row r="14" spans="1:6" x14ac:dyDescent="0.25">
      <c r="A14" s="57"/>
      <c r="B14" s="58"/>
      <c r="C14" s="80"/>
      <c r="D14" s="1" t="s">
        <v>262</v>
      </c>
      <c r="E14" s="1" t="s">
        <v>11</v>
      </c>
      <c r="F14" s="1">
        <v>1.44</v>
      </c>
    </row>
    <row r="15" spans="1:6" x14ac:dyDescent="0.25">
      <c r="A15" s="57"/>
      <c r="B15" s="58"/>
      <c r="C15" s="80"/>
      <c r="D15" s="1" t="s">
        <v>263</v>
      </c>
      <c r="E15" s="1" t="s">
        <v>168</v>
      </c>
      <c r="F15" s="1">
        <v>0.4</v>
      </c>
    </row>
    <row r="16" spans="1:6" x14ac:dyDescent="0.25">
      <c r="A16" s="57"/>
      <c r="B16" s="58"/>
      <c r="C16" s="80"/>
      <c r="D16" s="1" t="s">
        <v>264</v>
      </c>
      <c r="E16" s="1" t="s">
        <v>29</v>
      </c>
      <c r="F16" s="17">
        <v>0.24</v>
      </c>
    </row>
    <row r="17" spans="1:6" ht="15.75" thickBot="1" x14ac:dyDescent="0.3">
      <c r="A17" s="57"/>
      <c r="B17" s="58"/>
      <c r="C17" s="80"/>
      <c r="D17" s="6" t="s">
        <v>265</v>
      </c>
      <c r="E17" s="6" t="s">
        <v>171</v>
      </c>
      <c r="F17" s="6">
        <v>2.052</v>
      </c>
    </row>
    <row r="18" spans="1:6" x14ac:dyDescent="0.25">
      <c r="A18" s="57"/>
      <c r="B18" s="58"/>
      <c r="C18" s="82"/>
      <c r="D18" s="35" t="s">
        <v>266</v>
      </c>
      <c r="E18" s="36" t="s">
        <v>267</v>
      </c>
      <c r="F18" s="36">
        <v>0.747</v>
      </c>
    </row>
    <row r="19" spans="1:6" x14ac:dyDescent="0.25">
      <c r="A19" s="57"/>
      <c r="B19" s="58"/>
      <c r="C19" s="82"/>
      <c r="D19" s="37" t="s">
        <v>268</v>
      </c>
      <c r="E19" s="1" t="s">
        <v>267</v>
      </c>
      <c r="F19" s="1">
        <v>0.42</v>
      </c>
    </row>
    <row r="20" spans="1:6" ht="15.75" thickBot="1" x14ac:dyDescent="0.3">
      <c r="A20" s="57"/>
      <c r="B20" s="58"/>
      <c r="C20" s="82"/>
      <c r="D20" s="38" t="s">
        <v>269</v>
      </c>
      <c r="E20" s="39" t="s">
        <v>267</v>
      </c>
      <c r="F20" s="39">
        <v>0.77600000000000002</v>
      </c>
    </row>
    <row r="21" spans="1:6" x14ac:dyDescent="0.25">
      <c r="A21" s="57"/>
      <c r="B21" s="58"/>
      <c r="C21" s="80"/>
      <c r="D21" s="34" t="s">
        <v>270</v>
      </c>
      <c r="E21" s="34" t="s">
        <v>10</v>
      </c>
      <c r="F21" s="34">
        <v>3.4</v>
      </c>
    </row>
    <row r="22" spans="1:6" ht="15" customHeight="1" x14ac:dyDescent="0.25">
      <c r="A22" s="57"/>
      <c r="B22" s="58"/>
      <c r="C22" s="80"/>
      <c r="D22" s="1" t="s">
        <v>272</v>
      </c>
      <c r="E22" s="1" t="s">
        <v>11</v>
      </c>
      <c r="F22" s="1">
        <v>0.88500000000000001</v>
      </c>
    </row>
    <row r="23" spans="1:6" x14ac:dyDescent="0.25">
      <c r="A23" s="57"/>
      <c r="B23" s="58"/>
      <c r="C23" s="80"/>
      <c r="D23" s="1" t="s">
        <v>273</v>
      </c>
      <c r="E23" s="1" t="s">
        <v>10</v>
      </c>
      <c r="F23" s="1">
        <v>2.2999999999999998</v>
      </c>
    </row>
    <row r="24" spans="1:6" x14ac:dyDescent="0.25">
      <c r="A24" s="57"/>
      <c r="B24" s="58"/>
      <c r="C24" s="80"/>
      <c r="D24" s="1" t="s">
        <v>274</v>
      </c>
      <c r="E24" s="1" t="s">
        <v>167</v>
      </c>
      <c r="F24" s="1">
        <v>0.3</v>
      </c>
    </row>
    <row r="25" spans="1:6" x14ac:dyDescent="0.25">
      <c r="A25" s="57"/>
      <c r="B25" s="58"/>
      <c r="C25" s="80"/>
      <c r="D25" s="1" t="s">
        <v>275</v>
      </c>
      <c r="E25" s="1" t="s">
        <v>12</v>
      </c>
      <c r="F25" s="1">
        <v>0.96</v>
      </c>
    </row>
    <row r="26" spans="1:6" x14ac:dyDescent="0.25">
      <c r="A26" s="57"/>
      <c r="B26" s="58"/>
      <c r="C26" s="80"/>
      <c r="D26" s="1" t="s">
        <v>276</v>
      </c>
      <c r="E26" s="1" t="s">
        <v>166</v>
      </c>
      <c r="F26" s="1">
        <v>0.21</v>
      </c>
    </row>
    <row r="27" spans="1:6" x14ac:dyDescent="0.25">
      <c r="A27" s="57"/>
      <c r="B27" s="58"/>
      <c r="C27" s="81"/>
      <c r="D27" s="1" t="s">
        <v>277</v>
      </c>
      <c r="E27" s="1" t="s">
        <v>166</v>
      </c>
      <c r="F27" s="1">
        <v>0.12</v>
      </c>
    </row>
    <row r="28" spans="1:6" x14ac:dyDescent="0.25">
      <c r="A28" s="57"/>
      <c r="B28" s="58"/>
      <c r="C28" s="47"/>
      <c r="D28" s="48"/>
      <c r="E28" s="49"/>
      <c r="F28" s="7">
        <f>SUM(F10:F27)</f>
        <v>17.250000000000004</v>
      </c>
    </row>
    <row r="29" spans="1:6" x14ac:dyDescent="0.25">
      <c r="A29" s="57"/>
      <c r="B29" s="58"/>
      <c r="C29" s="83" t="s">
        <v>287</v>
      </c>
      <c r="D29" s="1" t="s">
        <v>282</v>
      </c>
      <c r="E29" s="1" t="s">
        <v>184</v>
      </c>
      <c r="F29" s="1">
        <v>3.27</v>
      </c>
    </row>
    <row r="30" spans="1:6" x14ac:dyDescent="0.25">
      <c r="A30" s="57"/>
      <c r="B30" s="58"/>
      <c r="C30" s="84"/>
      <c r="D30" s="1" t="s">
        <v>283</v>
      </c>
      <c r="E30" s="1" t="s">
        <v>166</v>
      </c>
      <c r="F30" s="1">
        <v>0.08</v>
      </c>
    </row>
    <row r="31" spans="1:6" ht="15" customHeight="1" x14ac:dyDescent="0.25">
      <c r="A31" s="57"/>
      <c r="B31" s="58"/>
      <c r="C31" s="84"/>
      <c r="D31" s="1" t="s">
        <v>284</v>
      </c>
      <c r="E31" s="1" t="s">
        <v>166</v>
      </c>
      <c r="F31" s="1">
        <v>7.4999999999999997E-2</v>
      </c>
    </row>
    <row r="32" spans="1:6" x14ac:dyDescent="0.25">
      <c r="A32" s="57"/>
      <c r="B32" s="58"/>
      <c r="C32" s="84"/>
      <c r="D32" s="1" t="s">
        <v>210</v>
      </c>
      <c r="E32" s="1" t="s">
        <v>166</v>
      </c>
      <c r="F32" s="1">
        <v>0.05</v>
      </c>
    </row>
    <row r="33" spans="1:6" x14ac:dyDescent="0.25">
      <c r="A33" s="57"/>
      <c r="B33" s="58"/>
      <c r="C33" s="84"/>
      <c r="D33" s="1" t="s">
        <v>285</v>
      </c>
      <c r="E33" s="1" t="s">
        <v>168</v>
      </c>
      <c r="F33" s="1">
        <v>0.18</v>
      </c>
    </row>
    <row r="34" spans="1:6" x14ac:dyDescent="0.25">
      <c r="A34" s="57"/>
      <c r="B34" s="58"/>
      <c r="C34" s="84"/>
      <c r="D34" s="1" t="s">
        <v>279</v>
      </c>
      <c r="E34" s="1" t="s">
        <v>167</v>
      </c>
      <c r="F34" s="1">
        <v>0.21</v>
      </c>
    </row>
    <row r="35" spans="1:6" x14ac:dyDescent="0.25">
      <c r="A35" s="57"/>
      <c r="B35" s="58"/>
      <c r="C35" s="85"/>
      <c r="D35" s="1" t="s">
        <v>286</v>
      </c>
      <c r="E35" s="1" t="s">
        <v>13</v>
      </c>
      <c r="F35" s="1">
        <v>0.105</v>
      </c>
    </row>
    <row r="36" spans="1:6" x14ac:dyDescent="0.25">
      <c r="A36" s="57"/>
      <c r="B36" s="60"/>
      <c r="C36" s="61"/>
      <c r="D36" s="61"/>
      <c r="E36" s="62"/>
      <c r="F36" s="7">
        <f>SUM(F29:F35)</f>
        <v>3.97</v>
      </c>
    </row>
    <row r="37" spans="1:6" x14ac:dyDescent="0.25">
      <c r="A37" s="57"/>
      <c r="B37" s="18"/>
      <c r="C37" s="1"/>
      <c r="D37" s="1" t="s">
        <v>531</v>
      </c>
      <c r="E37" s="1" t="s">
        <v>17</v>
      </c>
      <c r="F37" s="1">
        <v>3.0640000000000001</v>
      </c>
    </row>
    <row r="38" spans="1:6" ht="15" customHeight="1" x14ac:dyDescent="0.25">
      <c r="A38" s="57"/>
      <c r="B38" s="59" t="s">
        <v>917</v>
      </c>
      <c r="C38" s="63" t="s">
        <v>255</v>
      </c>
      <c r="D38" s="1" t="s">
        <v>288</v>
      </c>
      <c r="E38" s="1" t="s">
        <v>290</v>
      </c>
      <c r="F38" s="1">
        <v>1.32</v>
      </c>
    </row>
    <row r="39" spans="1:6" x14ac:dyDescent="0.25">
      <c r="A39" s="57"/>
      <c r="B39" s="59"/>
      <c r="C39" s="64"/>
      <c r="D39" s="1" t="s">
        <v>291</v>
      </c>
      <c r="E39" s="1" t="s">
        <v>292</v>
      </c>
      <c r="F39" s="1">
        <v>0.5</v>
      </c>
    </row>
    <row r="40" spans="1:6" x14ac:dyDescent="0.25">
      <c r="A40" s="57"/>
      <c r="B40" s="59"/>
      <c r="C40" s="64"/>
      <c r="D40" s="1" t="s">
        <v>293</v>
      </c>
      <c r="E40" s="1" t="s">
        <v>171</v>
      </c>
      <c r="F40" s="1">
        <v>1.4159999999999999</v>
      </c>
    </row>
    <row r="41" spans="1:6" x14ac:dyDescent="0.25">
      <c r="A41" s="57"/>
      <c r="B41" s="59"/>
      <c r="C41" s="64"/>
      <c r="D41" s="1" t="s">
        <v>294</v>
      </c>
      <c r="E41" s="1" t="s">
        <v>257</v>
      </c>
      <c r="F41" s="1">
        <v>2.1349999999999998</v>
      </c>
    </row>
    <row r="42" spans="1:6" x14ac:dyDescent="0.25">
      <c r="A42" s="57"/>
      <c r="B42" s="59"/>
      <c r="C42" s="64"/>
      <c r="D42" s="1" t="s">
        <v>295</v>
      </c>
      <c r="E42" s="1" t="s">
        <v>10</v>
      </c>
      <c r="F42" s="1">
        <v>0.95</v>
      </c>
    </row>
    <row r="43" spans="1:6" x14ac:dyDescent="0.25">
      <c r="A43" s="57"/>
      <c r="B43" s="59"/>
      <c r="C43" s="64"/>
      <c r="D43" s="1" t="s">
        <v>30</v>
      </c>
      <c r="E43" s="1" t="s">
        <v>11</v>
      </c>
      <c r="F43" s="1">
        <v>1.2</v>
      </c>
    </row>
    <row r="44" spans="1:6" x14ac:dyDescent="0.25">
      <c r="A44" s="57"/>
      <c r="B44" s="59"/>
      <c r="C44" s="64"/>
      <c r="D44" s="1" t="s">
        <v>296</v>
      </c>
      <c r="E44" s="1" t="s">
        <v>292</v>
      </c>
      <c r="F44" s="1">
        <v>1.2</v>
      </c>
    </row>
    <row r="45" spans="1:6" x14ac:dyDescent="0.25">
      <c r="A45" s="57"/>
      <c r="B45" s="59"/>
      <c r="C45" s="64"/>
      <c r="D45" s="1" t="s">
        <v>297</v>
      </c>
      <c r="E45" s="1" t="s">
        <v>168</v>
      </c>
      <c r="F45" s="1">
        <v>0.23200000000000001</v>
      </c>
    </row>
    <row r="46" spans="1:6" x14ac:dyDescent="0.25">
      <c r="A46" s="57"/>
      <c r="B46" s="59"/>
      <c r="C46" s="64"/>
      <c r="D46" s="1" t="s">
        <v>298</v>
      </c>
      <c r="E46" s="1" t="s">
        <v>180</v>
      </c>
      <c r="F46" s="1">
        <v>1.62</v>
      </c>
    </row>
    <row r="47" spans="1:6" x14ac:dyDescent="0.25">
      <c r="A47" s="57"/>
      <c r="B47" s="59"/>
      <c r="C47" s="64"/>
      <c r="D47" s="1" t="s">
        <v>299</v>
      </c>
      <c r="E47" s="1" t="s">
        <v>168</v>
      </c>
      <c r="F47" s="1">
        <v>0.72</v>
      </c>
    </row>
    <row r="48" spans="1:6" x14ac:dyDescent="0.25">
      <c r="A48" s="57"/>
      <c r="B48" s="59"/>
      <c r="C48" s="64"/>
      <c r="D48" s="1" t="s">
        <v>300</v>
      </c>
      <c r="E48" s="1" t="s">
        <v>15</v>
      </c>
      <c r="F48" s="1">
        <v>2.85</v>
      </c>
    </row>
    <row r="49" spans="1:6" x14ac:dyDescent="0.25">
      <c r="A49" s="57"/>
      <c r="B49" s="59"/>
      <c r="C49" s="64"/>
      <c r="D49" s="1" t="s">
        <v>301</v>
      </c>
      <c r="E49" s="1" t="s">
        <v>303</v>
      </c>
      <c r="F49" s="1">
        <v>7.94</v>
      </c>
    </row>
    <row r="50" spans="1:6" x14ac:dyDescent="0.25">
      <c r="A50" s="57"/>
      <c r="B50" s="59"/>
      <c r="C50" s="64"/>
      <c r="D50" s="1" t="s">
        <v>302</v>
      </c>
      <c r="E50" s="1" t="s">
        <v>12</v>
      </c>
      <c r="F50" s="1">
        <v>0.66600000000000004</v>
      </c>
    </row>
    <row r="51" spans="1:6" x14ac:dyDescent="0.25">
      <c r="A51" s="57"/>
      <c r="B51" s="59"/>
      <c r="C51" s="64"/>
      <c r="D51" s="1" t="s">
        <v>304</v>
      </c>
      <c r="E51" s="1" t="s">
        <v>11</v>
      </c>
      <c r="F51" s="1">
        <v>2.5499999999999998</v>
      </c>
    </row>
    <row r="52" spans="1:6" x14ac:dyDescent="0.25">
      <c r="A52" s="57"/>
      <c r="B52" s="59"/>
      <c r="C52" s="64"/>
      <c r="D52" s="1" t="s">
        <v>305</v>
      </c>
      <c r="E52" s="1" t="s">
        <v>11</v>
      </c>
      <c r="F52" s="1">
        <v>1.56</v>
      </c>
    </row>
    <row r="53" spans="1:6" x14ac:dyDescent="0.25">
      <c r="A53" s="57"/>
      <c r="B53" s="59"/>
      <c r="C53" s="64"/>
      <c r="D53" s="1" t="s">
        <v>306</v>
      </c>
      <c r="E53" s="1" t="s">
        <v>166</v>
      </c>
      <c r="F53" s="1">
        <v>0.18</v>
      </c>
    </row>
    <row r="54" spans="1:6" x14ac:dyDescent="0.25">
      <c r="A54" s="57"/>
      <c r="B54" s="59"/>
      <c r="C54" s="64"/>
      <c r="D54" s="1" t="s">
        <v>538</v>
      </c>
      <c r="E54" s="1" t="s">
        <v>17</v>
      </c>
      <c r="F54" s="1">
        <v>1.75</v>
      </c>
    </row>
    <row r="55" spans="1:6" x14ac:dyDescent="0.25">
      <c r="A55" s="57"/>
      <c r="B55" s="59"/>
      <c r="C55" s="64"/>
      <c r="D55" s="1" t="s">
        <v>539</v>
      </c>
      <c r="E55" s="1" t="s">
        <v>17</v>
      </c>
      <c r="F55" s="1">
        <v>1.95</v>
      </c>
    </row>
    <row r="56" spans="1:6" x14ac:dyDescent="0.25">
      <c r="A56" s="57"/>
      <c r="B56" s="59"/>
      <c r="C56" s="64"/>
      <c r="D56" s="1" t="s">
        <v>546</v>
      </c>
      <c r="E56" s="1" t="s">
        <v>17</v>
      </c>
      <c r="F56" s="1">
        <v>0.8</v>
      </c>
    </row>
    <row r="57" spans="1:6" x14ac:dyDescent="0.25">
      <c r="A57" s="57"/>
      <c r="B57" s="59"/>
      <c r="C57" s="64"/>
      <c r="D57" s="1" t="s">
        <v>540</v>
      </c>
      <c r="E57" s="1" t="s">
        <v>17</v>
      </c>
      <c r="F57" s="1">
        <v>1.75</v>
      </c>
    </row>
    <row r="58" spans="1:6" x14ac:dyDescent="0.25">
      <c r="A58" s="57"/>
      <c r="B58" s="59"/>
      <c r="C58" s="64"/>
      <c r="D58" s="1" t="s">
        <v>296</v>
      </c>
      <c r="E58" s="1" t="s">
        <v>17</v>
      </c>
      <c r="F58" s="1">
        <v>1</v>
      </c>
    </row>
    <row r="59" spans="1:6" x14ac:dyDescent="0.25">
      <c r="A59" s="57"/>
      <c r="B59" s="59"/>
      <c r="C59" s="64"/>
      <c r="D59" s="1" t="s">
        <v>295</v>
      </c>
      <c r="E59" s="1" t="s">
        <v>10</v>
      </c>
      <c r="F59" s="1">
        <v>1</v>
      </c>
    </row>
    <row r="60" spans="1:6" x14ac:dyDescent="0.25">
      <c r="A60" s="57"/>
      <c r="B60" s="59"/>
      <c r="C60" s="64"/>
      <c r="D60" s="1" t="s">
        <v>492</v>
      </c>
      <c r="E60" s="1" t="s">
        <v>250</v>
      </c>
      <c r="F60" s="1">
        <v>0.87</v>
      </c>
    </row>
    <row r="61" spans="1:6" x14ac:dyDescent="0.25">
      <c r="A61" s="57"/>
      <c r="B61" s="59"/>
      <c r="C61" s="64"/>
      <c r="D61" s="1" t="s">
        <v>545</v>
      </c>
      <c r="E61" s="1" t="s">
        <v>292</v>
      </c>
      <c r="F61" s="1">
        <v>0.48</v>
      </c>
    </row>
    <row r="62" spans="1:6" x14ac:dyDescent="0.25">
      <c r="A62" s="57"/>
      <c r="B62" s="59"/>
      <c r="C62" s="65"/>
      <c r="D62" s="1" t="s">
        <v>307</v>
      </c>
      <c r="E62" s="1" t="s">
        <v>11</v>
      </c>
      <c r="F62" s="1">
        <v>3</v>
      </c>
    </row>
    <row r="63" spans="1:6" ht="15" customHeight="1" x14ac:dyDescent="0.25">
      <c r="A63" s="57"/>
      <c r="B63" s="47"/>
      <c r="C63" s="48"/>
      <c r="D63" s="48"/>
      <c r="E63" s="49"/>
      <c r="F63" s="7">
        <f>SUM(F37:F62)</f>
        <v>42.702999999999989</v>
      </c>
    </row>
    <row r="64" spans="1:6" ht="14.25" customHeight="1" x14ac:dyDescent="0.25">
      <c r="A64" s="57"/>
      <c r="B64" s="56"/>
      <c r="C64" s="53" t="s">
        <v>315</v>
      </c>
      <c r="D64" s="1" t="s">
        <v>0</v>
      </c>
      <c r="E64" s="1" t="s">
        <v>314</v>
      </c>
      <c r="F64" s="1" t="s">
        <v>9</v>
      </c>
    </row>
    <row r="65" spans="1:6" x14ac:dyDescent="0.25">
      <c r="A65" s="57"/>
      <c r="B65" s="56"/>
      <c r="C65" s="54"/>
      <c r="D65" s="1" t="s">
        <v>310</v>
      </c>
      <c r="E65" s="1" t="s">
        <v>257</v>
      </c>
      <c r="F65" s="1">
        <v>1.512</v>
      </c>
    </row>
    <row r="66" spans="1:6" x14ac:dyDescent="0.25">
      <c r="A66" s="57"/>
      <c r="B66" s="56"/>
      <c r="C66" s="54"/>
      <c r="D66" s="1" t="s">
        <v>311</v>
      </c>
      <c r="E66" s="1" t="s">
        <v>257</v>
      </c>
      <c r="F66" s="1">
        <v>3</v>
      </c>
    </row>
    <row r="67" spans="1:6" x14ac:dyDescent="0.25">
      <c r="A67" s="57"/>
      <c r="B67" s="56"/>
      <c r="C67" s="54"/>
      <c r="D67" s="1" t="s">
        <v>312</v>
      </c>
      <c r="E67" s="1" t="s">
        <v>257</v>
      </c>
      <c r="F67" s="1">
        <v>9.9149999999999991</v>
      </c>
    </row>
    <row r="68" spans="1:6" x14ac:dyDescent="0.25">
      <c r="A68" s="57"/>
      <c r="B68" s="56"/>
      <c r="C68" s="55"/>
      <c r="D68" s="1" t="s">
        <v>313</v>
      </c>
      <c r="E68" s="1" t="s">
        <v>184</v>
      </c>
      <c r="F68" s="1">
        <v>1.95</v>
      </c>
    </row>
    <row r="69" spans="1:6" x14ac:dyDescent="0.25">
      <c r="A69" s="57"/>
      <c r="B69" s="56"/>
      <c r="C69" s="47"/>
      <c r="D69" s="48"/>
      <c r="E69" s="49"/>
      <c r="F69" s="7">
        <f>SUM(F64:F68)</f>
        <v>16.376999999999999</v>
      </c>
    </row>
    <row r="70" spans="1:6" x14ac:dyDescent="0.25">
      <c r="A70" s="67" t="s">
        <v>216</v>
      </c>
      <c r="B70" s="67"/>
      <c r="C70" s="67"/>
      <c r="D70" s="67"/>
      <c r="E70" s="68">
        <f>F9+F28+F36+F63+F69</f>
        <v>88.403999999999982</v>
      </c>
      <c r="F70" s="68"/>
    </row>
    <row r="71" spans="1:6" x14ac:dyDescent="0.25">
      <c r="A71" s="67"/>
      <c r="B71" s="67"/>
      <c r="C71" s="67"/>
      <c r="D71" s="67"/>
      <c r="E71" s="68"/>
      <c r="F71" s="68"/>
    </row>
    <row r="73" spans="1:6" x14ac:dyDescent="0.25">
      <c r="A73" s="71" t="s">
        <v>318</v>
      </c>
      <c r="B73" s="69" t="s">
        <v>315</v>
      </c>
      <c r="C73" s="1" t="s">
        <v>0</v>
      </c>
      <c r="D73" s="1" t="s">
        <v>314</v>
      </c>
      <c r="E73" s="1" t="s">
        <v>9</v>
      </c>
    </row>
    <row r="74" spans="1:6" x14ac:dyDescent="0.25">
      <c r="A74" s="71"/>
      <c r="B74" s="69"/>
      <c r="C74" s="1" t="s">
        <v>310</v>
      </c>
      <c r="D74" s="1" t="s">
        <v>17</v>
      </c>
      <c r="E74" s="1">
        <v>0.5</v>
      </c>
    </row>
    <row r="75" spans="1:6" x14ac:dyDescent="0.25">
      <c r="A75" s="71"/>
      <c r="B75" s="69"/>
      <c r="C75" s="1" t="s">
        <v>311</v>
      </c>
      <c r="D75" s="1" t="s">
        <v>17</v>
      </c>
      <c r="E75" s="1">
        <v>1</v>
      </c>
    </row>
    <row r="76" spans="1:6" x14ac:dyDescent="0.25">
      <c r="A76" s="71"/>
      <c r="B76" s="69"/>
      <c r="C76" s="1" t="s">
        <v>312</v>
      </c>
      <c r="D76" s="1" t="s">
        <v>17</v>
      </c>
      <c r="E76" s="1">
        <v>3.3050000000000002</v>
      </c>
    </row>
    <row r="77" spans="1:6" x14ac:dyDescent="0.25">
      <c r="A77" s="71"/>
      <c r="B77" s="69"/>
      <c r="C77" s="1" t="s">
        <v>317</v>
      </c>
      <c r="D77" s="1" t="s">
        <v>17</v>
      </c>
      <c r="E77" s="1">
        <v>0.5</v>
      </c>
    </row>
    <row r="78" spans="1:6" ht="15" customHeight="1" x14ac:dyDescent="0.25">
      <c r="A78" s="71"/>
      <c r="B78" s="47" t="s">
        <v>199</v>
      </c>
      <c r="C78" s="48"/>
      <c r="D78" s="49"/>
      <c r="E78" s="7">
        <f>SUM(E74:E77)</f>
        <v>5.3049999999999997</v>
      </c>
    </row>
    <row r="79" spans="1:6" x14ac:dyDescent="0.25">
      <c r="A79" s="71"/>
      <c r="B79" s="70" t="s">
        <v>308</v>
      </c>
      <c r="C79" s="1" t="s">
        <v>218</v>
      </c>
      <c r="D79" s="1" t="s">
        <v>246</v>
      </c>
      <c r="E79" s="1">
        <v>1.62</v>
      </c>
    </row>
    <row r="80" spans="1:6" x14ac:dyDescent="0.25">
      <c r="A80" s="71"/>
      <c r="B80" s="70"/>
      <c r="C80" s="1" t="s">
        <v>359</v>
      </c>
      <c r="D80" s="1" t="s">
        <v>17</v>
      </c>
      <c r="E80" s="1">
        <v>6.915</v>
      </c>
    </row>
    <row r="81" spans="1:5" x14ac:dyDescent="0.25">
      <c r="A81" s="71"/>
      <c r="B81" s="70"/>
      <c r="C81" s="1" t="s">
        <v>600</v>
      </c>
      <c r="D81" s="1" t="s">
        <v>17</v>
      </c>
      <c r="E81" s="1">
        <v>9.8000000000000007</v>
      </c>
    </row>
    <row r="82" spans="1:5" x14ac:dyDescent="0.25">
      <c r="A82" s="71"/>
      <c r="B82" s="70"/>
      <c r="C82" s="1" t="s">
        <v>316</v>
      </c>
      <c r="D82" s="1" t="s">
        <v>292</v>
      </c>
      <c r="E82" s="1">
        <v>2.0499999999999998</v>
      </c>
    </row>
    <row r="83" spans="1:5" x14ac:dyDescent="0.25">
      <c r="A83" s="50" t="s">
        <v>199</v>
      </c>
      <c r="B83" s="50"/>
      <c r="C83" s="50"/>
      <c r="D83" s="50"/>
      <c r="E83" s="7">
        <f>SUM(E79:E82)</f>
        <v>20.385000000000002</v>
      </c>
    </row>
    <row r="84" spans="1:5" x14ac:dyDescent="0.25">
      <c r="A84" s="66"/>
      <c r="B84" s="66"/>
      <c r="C84" s="66"/>
      <c r="D84" s="66"/>
      <c r="E84" s="7">
        <f>E78+E83</f>
        <v>25.69</v>
      </c>
    </row>
    <row r="86" spans="1:5" ht="15" customHeight="1" x14ac:dyDescent="0.25"/>
    <row r="89" spans="1:5" x14ac:dyDescent="0.25">
      <c r="A89" s="71" t="s">
        <v>328</v>
      </c>
      <c r="B89" s="69" t="s">
        <v>315</v>
      </c>
      <c r="C89" s="1" t="s">
        <v>0</v>
      </c>
      <c r="D89" s="1" t="s">
        <v>314</v>
      </c>
      <c r="E89" s="1" t="s">
        <v>9</v>
      </c>
    </row>
    <row r="90" spans="1:5" x14ac:dyDescent="0.25">
      <c r="A90" s="71"/>
      <c r="B90" s="69"/>
      <c r="C90" s="1" t="s">
        <v>310</v>
      </c>
      <c r="D90" s="1" t="s">
        <v>184</v>
      </c>
      <c r="E90" s="1">
        <v>0.5</v>
      </c>
    </row>
    <row r="91" spans="1:5" x14ac:dyDescent="0.25">
      <c r="A91" s="71"/>
      <c r="B91" s="69"/>
      <c r="C91" s="1" t="s">
        <v>311</v>
      </c>
      <c r="D91" s="1" t="s">
        <v>184</v>
      </c>
      <c r="E91" s="1">
        <v>1</v>
      </c>
    </row>
    <row r="92" spans="1:5" x14ac:dyDescent="0.25">
      <c r="A92" s="71"/>
      <c r="B92" s="69"/>
      <c r="C92" s="1" t="s">
        <v>317</v>
      </c>
      <c r="D92" s="1" t="s">
        <v>184</v>
      </c>
      <c r="E92" s="1">
        <v>0.5</v>
      </c>
    </row>
    <row r="93" spans="1:5" x14ac:dyDescent="0.25">
      <c r="A93" s="71"/>
      <c r="B93" s="47" t="s">
        <v>199</v>
      </c>
      <c r="C93" s="48"/>
      <c r="D93" s="49"/>
      <c r="E93" s="7">
        <f>SUM(E90:E92)</f>
        <v>2</v>
      </c>
    </row>
    <row r="94" spans="1:5" x14ac:dyDescent="0.25">
      <c r="A94" s="71"/>
      <c r="B94" s="1"/>
      <c r="C94" s="1"/>
      <c r="D94" s="1"/>
      <c r="E94" s="1"/>
    </row>
    <row r="95" spans="1:5" x14ac:dyDescent="0.25">
      <c r="A95" s="71"/>
      <c r="B95" s="53" t="s">
        <v>324</v>
      </c>
      <c r="C95" s="1" t="s">
        <v>319</v>
      </c>
      <c r="D95" s="1" t="s">
        <v>14</v>
      </c>
      <c r="E95" s="1">
        <v>2.4750000000000001</v>
      </c>
    </row>
    <row r="96" spans="1:5" x14ac:dyDescent="0.25">
      <c r="A96" s="71"/>
      <c r="B96" s="54"/>
      <c r="C96" s="1" t="s">
        <v>320</v>
      </c>
      <c r="D96" s="1" t="s">
        <v>168</v>
      </c>
      <c r="E96" s="1">
        <v>1</v>
      </c>
    </row>
    <row r="97" spans="1:6" ht="15" customHeight="1" x14ac:dyDescent="0.25">
      <c r="A97" s="71"/>
      <c r="B97" s="54"/>
      <c r="C97" s="1" t="s">
        <v>22</v>
      </c>
      <c r="D97" s="1" t="s">
        <v>17</v>
      </c>
      <c r="E97" s="1">
        <v>0.3</v>
      </c>
    </row>
    <row r="98" spans="1:6" x14ac:dyDescent="0.25">
      <c r="A98" s="71"/>
      <c r="B98" s="54"/>
      <c r="C98" s="1" t="s">
        <v>283</v>
      </c>
      <c r="D98" s="1" t="s">
        <v>271</v>
      </c>
      <c r="E98" s="1">
        <v>0.63800000000000001</v>
      </c>
    </row>
    <row r="99" spans="1:6" x14ac:dyDescent="0.25">
      <c r="A99" s="71"/>
      <c r="B99" s="54"/>
      <c r="C99" s="1" t="s">
        <v>284</v>
      </c>
      <c r="D99" s="1" t="s">
        <v>13</v>
      </c>
      <c r="E99" s="1">
        <v>0.3</v>
      </c>
    </row>
    <row r="100" spans="1:6" x14ac:dyDescent="0.25">
      <c r="A100" s="71"/>
      <c r="B100" s="54"/>
      <c r="C100" s="1" t="s">
        <v>321</v>
      </c>
      <c r="D100" s="1" t="s">
        <v>17</v>
      </c>
      <c r="E100" s="1">
        <v>0.8</v>
      </c>
    </row>
    <row r="101" spans="1:6" x14ac:dyDescent="0.25">
      <c r="A101" s="71"/>
      <c r="B101" s="54"/>
      <c r="C101" s="1" t="s">
        <v>334</v>
      </c>
      <c r="D101" s="1" t="s">
        <v>17</v>
      </c>
      <c r="E101" s="1">
        <v>0.85799999999999998</v>
      </c>
    </row>
    <row r="102" spans="1:6" x14ac:dyDescent="0.25">
      <c r="A102" s="71"/>
      <c r="B102" s="55"/>
      <c r="C102" s="1" t="s">
        <v>322</v>
      </c>
      <c r="D102" s="1" t="s">
        <v>325</v>
      </c>
      <c r="E102" s="1">
        <v>0.25</v>
      </c>
    </row>
    <row r="103" spans="1:6" x14ac:dyDescent="0.25">
      <c r="A103" s="71"/>
      <c r="B103" s="47" t="s">
        <v>199</v>
      </c>
      <c r="C103" s="48"/>
      <c r="D103" s="49"/>
      <c r="E103" s="7">
        <f>SUM(E95:E102)</f>
        <v>6.6209999999999996</v>
      </c>
    </row>
    <row r="104" spans="1:6" x14ac:dyDescent="0.25">
      <c r="A104" s="71"/>
      <c r="B104" s="69" t="s">
        <v>308</v>
      </c>
      <c r="C104" s="1" t="s">
        <v>323</v>
      </c>
      <c r="D104" s="1" t="s">
        <v>292</v>
      </c>
      <c r="E104" s="1">
        <v>1.98</v>
      </c>
    </row>
    <row r="105" spans="1:6" x14ac:dyDescent="0.25">
      <c r="A105" s="71"/>
      <c r="B105" s="69"/>
      <c r="C105" s="1" t="s">
        <v>30</v>
      </c>
      <c r="D105" s="1" t="s">
        <v>13</v>
      </c>
      <c r="E105" s="1">
        <v>2.15</v>
      </c>
    </row>
    <row r="106" spans="1:6" x14ac:dyDescent="0.25">
      <c r="A106" s="71"/>
      <c r="B106" s="69"/>
      <c r="C106" s="1" t="s">
        <v>326</v>
      </c>
      <c r="D106" s="1" t="s">
        <v>168</v>
      </c>
      <c r="E106" s="1">
        <v>0.22</v>
      </c>
    </row>
    <row r="107" spans="1:6" x14ac:dyDescent="0.25">
      <c r="A107" s="71"/>
      <c r="B107" s="69"/>
      <c r="C107" s="1" t="s">
        <v>327</v>
      </c>
      <c r="D107" s="1" t="s">
        <v>168</v>
      </c>
      <c r="E107" s="1">
        <v>0.36</v>
      </c>
    </row>
    <row r="108" spans="1:6" x14ac:dyDescent="0.25">
      <c r="A108" s="50" t="s">
        <v>199</v>
      </c>
      <c r="B108" s="50"/>
      <c r="C108" s="50"/>
      <c r="D108" s="7"/>
      <c r="E108" s="7">
        <f>SUM(E104:E107)</f>
        <v>4.71</v>
      </c>
    </row>
    <row r="109" spans="1:6" ht="15" customHeight="1" x14ac:dyDescent="0.25">
      <c r="A109" s="66" t="s">
        <v>216</v>
      </c>
      <c r="B109" s="66"/>
      <c r="C109" s="66"/>
      <c r="D109" s="66"/>
      <c r="E109" s="7">
        <f>E93+E103+E108</f>
        <v>13.331</v>
      </c>
    </row>
    <row r="110" spans="1:6" ht="15" customHeight="1" x14ac:dyDescent="0.25"/>
    <row r="111" spans="1:6" x14ac:dyDescent="0.25">
      <c r="A111" s="71" t="s">
        <v>342</v>
      </c>
      <c r="B111" s="53" t="s">
        <v>324</v>
      </c>
      <c r="C111" s="1" t="s">
        <v>335</v>
      </c>
      <c r="D111" s="1" t="s">
        <v>180</v>
      </c>
      <c r="E111" s="1" t="s">
        <v>9</v>
      </c>
    </row>
    <row r="112" spans="1:6" ht="15" customHeight="1" x14ac:dyDescent="0.25">
      <c r="A112" s="71"/>
      <c r="B112" s="54"/>
      <c r="C112" s="1" t="s">
        <v>336</v>
      </c>
      <c r="D112" s="1" t="s">
        <v>17</v>
      </c>
      <c r="E112" s="1">
        <v>0.3</v>
      </c>
      <c r="F112">
        <v>0.25</v>
      </c>
    </row>
    <row r="113" spans="1:5" x14ac:dyDescent="0.25">
      <c r="A113" s="71"/>
      <c r="B113" s="54"/>
      <c r="C113" s="1" t="s">
        <v>337</v>
      </c>
      <c r="D113" s="1" t="s">
        <v>13</v>
      </c>
      <c r="E113" s="1">
        <v>0.36</v>
      </c>
    </row>
    <row r="114" spans="1:5" x14ac:dyDescent="0.25">
      <c r="A114" s="71"/>
      <c r="B114" s="54"/>
      <c r="C114" s="1" t="s">
        <v>338</v>
      </c>
      <c r="D114" s="1" t="s">
        <v>339</v>
      </c>
      <c r="E114" s="1">
        <v>3.06</v>
      </c>
    </row>
    <row r="115" spans="1:5" x14ac:dyDescent="0.25">
      <c r="A115" s="71"/>
      <c r="B115" s="54"/>
      <c r="C115" s="1" t="s">
        <v>243</v>
      </c>
      <c r="D115" s="1" t="s">
        <v>14</v>
      </c>
      <c r="E115" s="1">
        <v>1</v>
      </c>
    </row>
    <row r="116" spans="1:5" x14ac:dyDescent="0.25">
      <c r="A116" s="71"/>
      <c r="B116" s="54"/>
      <c r="C116" s="1" t="s">
        <v>340</v>
      </c>
      <c r="D116" s="1" t="s">
        <v>14</v>
      </c>
      <c r="E116" s="1">
        <v>0.45</v>
      </c>
    </row>
    <row r="117" spans="1:5" x14ac:dyDescent="0.25">
      <c r="A117" s="71"/>
      <c r="B117" s="54"/>
      <c r="C117" s="40" t="s">
        <v>320</v>
      </c>
      <c r="D117" s="1" t="s">
        <v>168</v>
      </c>
      <c r="E117" s="1">
        <v>0.1</v>
      </c>
    </row>
    <row r="118" spans="1:5" x14ac:dyDescent="0.25">
      <c r="A118" s="71"/>
      <c r="B118" s="54"/>
      <c r="C118" s="1" t="s">
        <v>421</v>
      </c>
      <c r="D118" s="1" t="s">
        <v>17</v>
      </c>
      <c r="E118" s="1">
        <v>1</v>
      </c>
    </row>
    <row r="119" spans="1:5" x14ac:dyDescent="0.25">
      <c r="A119" s="71"/>
      <c r="B119" s="54"/>
      <c r="C119" s="1" t="s">
        <v>859</v>
      </c>
      <c r="D119" s="1" t="s">
        <v>10</v>
      </c>
      <c r="E119" s="1">
        <v>0.7</v>
      </c>
    </row>
    <row r="120" spans="1:5" x14ac:dyDescent="0.25">
      <c r="A120" s="71"/>
      <c r="B120" s="54"/>
      <c r="C120" s="1" t="s">
        <v>405</v>
      </c>
      <c r="D120" s="1" t="s">
        <v>29</v>
      </c>
      <c r="E120" s="1">
        <v>0.23</v>
      </c>
    </row>
    <row r="121" spans="1:5" ht="15" customHeight="1" x14ac:dyDescent="0.25">
      <c r="A121" s="71"/>
      <c r="B121" s="54"/>
      <c r="C121" s="1" t="s">
        <v>341</v>
      </c>
      <c r="D121" s="1" t="s">
        <v>17</v>
      </c>
      <c r="E121" s="1">
        <v>0.85799999999999998</v>
      </c>
    </row>
    <row r="122" spans="1:5" x14ac:dyDescent="0.25">
      <c r="A122" s="71"/>
      <c r="B122" s="47" t="s">
        <v>199</v>
      </c>
      <c r="C122" s="48"/>
      <c r="D122" s="49"/>
      <c r="E122" s="7">
        <f>SUM(E112:E121)</f>
        <v>8.0579999999999998</v>
      </c>
    </row>
    <row r="123" spans="1:5" x14ac:dyDescent="0.25">
      <c r="A123" s="71"/>
    </row>
    <row r="124" spans="1:5" x14ac:dyDescent="0.25">
      <c r="A124" s="71"/>
      <c r="B124" s="53" t="s">
        <v>315</v>
      </c>
      <c r="C124" s="1" t="s">
        <v>0</v>
      </c>
      <c r="D124" s="1" t="s">
        <v>314</v>
      </c>
      <c r="E124" s="1" t="s">
        <v>9</v>
      </c>
    </row>
    <row r="125" spans="1:5" ht="15" customHeight="1" x14ac:dyDescent="0.25">
      <c r="A125" s="71"/>
      <c r="B125" s="54"/>
      <c r="C125" s="1" t="s">
        <v>310</v>
      </c>
      <c r="D125" s="1" t="s">
        <v>184</v>
      </c>
      <c r="E125" s="1">
        <v>0.51</v>
      </c>
    </row>
    <row r="126" spans="1:5" x14ac:dyDescent="0.25">
      <c r="A126" s="71"/>
      <c r="B126" s="55"/>
      <c r="C126" s="1" t="s">
        <v>343</v>
      </c>
      <c r="D126" s="1" t="s">
        <v>184</v>
      </c>
      <c r="E126" s="1">
        <v>0.45500000000000002</v>
      </c>
    </row>
    <row r="127" spans="1:5" x14ac:dyDescent="0.25">
      <c r="A127" s="78"/>
      <c r="B127" s="74" t="s">
        <v>199</v>
      </c>
      <c r="C127" s="75"/>
      <c r="D127" s="76"/>
      <c r="E127" s="19">
        <f>SUM(E125:E126)</f>
        <v>0.96500000000000008</v>
      </c>
    </row>
    <row r="128" spans="1:5" x14ac:dyDescent="0.25">
      <c r="A128" s="90" t="s">
        <v>216</v>
      </c>
      <c r="B128" s="91"/>
      <c r="C128" s="91"/>
      <c r="D128" s="92"/>
      <c r="E128" s="7">
        <f>E122+E127</f>
        <v>9.0229999999999997</v>
      </c>
    </row>
    <row r="130" spans="1:5" x14ac:dyDescent="0.25">
      <c r="A130" s="94" t="s">
        <v>547</v>
      </c>
      <c r="B130" s="1" t="s">
        <v>0</v>
      </c>
      <c r="C130" s="1" t="s">
        <v>202</v>
      </c>
      <c r="D130" s="56" t="s">
        <v>9</v>
      </c>
      <c r="E130" s="56"/>
    </row>
    <row r="131" spans="1:5" x14ac:dyDescent="0.25">
      <c r="A131" s="94"/>
      <c r="B131" s="1" t="s">
        <v>548</v>
      </c>
      <c r="C131" s="1" t="s">
        <v>17</v>
      </c>
      <c r="D131" s="89">
        <v>0.5</v>
      </c>
      <c r="E131" s="89"/>
    </row>
    <row r="132" spans="1:5" x14ac:dyDescent="0.25">
      <c r="A132" s="94"/>
      <c r="B132" s="1" t="s">
        <v>549</v>
      </c>
      <c r="C132" s="1" t="s">
        <v>17</v>
      </c>
      <c r="D132" s="89">
        <v>1</v>
      </c>
      <c r="E132" s="89"/>
    </row>
    <row r="133" spans="1:5" x14ac:dyDescent="0.25">
      <c r="A133" s="94"/>
      <c r="B133" s="1" t="s">
        <v>550</v>
      </c>
      <c r="C133" s="1" t="s">
        <v>446</v>
      </c>
      <c r="D133" s="89">
        <v>0.5</v>
      </c>
      <c r="E133" s="89"/>
    </row>
    <row r="134" spans="1:5" x14ac:dyDescent="0.25">
      <c r="A134" s="94"/>
      <c r="B134" s="1" t="s">
        <v>551</v>
      </c>
      <c r="C134" s="1" t="s">
        <v>17</v>
      </c>
      <c r="D134" s="89">
        <v>1.75</v>
      </c>
      <c r="E134" s="89"/>
    </row>
    <row r="135" spans="1:5" x14ac:dyDescent="0.25">
      <c r="A135" s="94"/>
      <c r="B135" s="1"/>
      <c r="C135" s="1"/>
      <c r="D135" s="89"/>
      <c r="E135" s="89"/>
    </row>
    <row r="136" spans="1:5" x14ac:dyDescent="0.25">
      <c r="A136" s="50"/>
      <c r="B136" s="50"/>
      <c r="C136" s="50"/>
      <c r="D136" s="50">
        <f>SUM(D131:E134)</f>
        <v>3.75</v>
      </c>
      <c r="E136" s="50"/>
    </row>
    <row r="139" spans="1:5" x14ac:dyDescent="0.25">
      <c r="A139" s="71" t="s">
        <v>606</v>
      </c>
      <c r="B139" s="53" t="s">
        <v>324</v>
      </c>
      <c r="C139" s="40" t="s">
        <v>335</v>
      </c>
      <c r="D139" s="1" t="s">
        <v>180</v>
      </c>
      <c r="E139" s="1" t="s">
        <v>9</v>
      </c>
    </row>
    <row r="140" spans="1:5" x14ac:dyDescent="0.25">
      <c r="A140" s="71"/>
      <c r="B140" s="54"/>
      <c r="C140" s="1" t="s">
        <v>921</v>
      </c>
      <c r="D140" s="1" t="s">
        <v>17</v>
      </c>
      <c r="E140" s="1">
        <v>2.2599999999999998</v>
      </c>
    </row>
    <row r="141" spans="1:5" x14ac:dyDescent="0.25">
      <c r="A141" s="71"/>
      <c r="B141" s="54"/>
      <c r="C141" s="1" t="s">
        <v>337</v>
      </c>
      <c r="D141" s="1" t="s">
        <v>13</v>
      </c>
      <c r="E141" s="1">
        <v>0.36</v>
      </c>
    </row>
    <row r="142" spans="1:5" x14ac:dyDescent="0.25">
      <c r="A142" s="71"/>
      <c r="B142" s="54"/>
      <c r="C142" s="40" t="s">
        <v>338</v>
      </c>
      <c r="D142" s="1" t="s">
        <v>339</v>
      </c>
      <c r="E142" s="1">
        <v>3.06</v>
      </c>
    </row>
    <row r="143" spans="1:5" x14ac:dyDescent="0.25">
      <c r="A143" s="71"/>
      <c r="B143" s="54"/>
      <c r="C143" s="40" t="s">
        <v>243</v>
      </c>
      <c r="D143" s="1" t="s">
        <v>10</v>
      </c>
      <c r="E143" s="1">
        <v>0.64600000000000002</v>
      </c>
    </row>
    <row r="144" spans="1:5" x14ac:dyDescent="0.25">
      <c r="A144" s="71"/>
      <c r="B144" s="54"/>
      <c r="C144" s="1" t="s">
        <v>340</v>
      </c>
      <c r="D144" s="1" t="s">
        <v>14</v>
      </c>
      <c r="E144" s="1">
        <v>0.45</v>
      </c>
    </row>
    <row r="145" spans="1:6" x14ac:dyDescent="0.25">
      <c r="A145" s="71"/>
      <c r="B145" s="54"/>
      <c r="C145" s="40" t="s">
        <v>320</v>
      </c>
      <c r="D145" s="1" t="s">
        <v>168</v>
      </c>
      <c r="E145" s="1">
        <v>0.1</v>
      </c>
    </row>
    <row r="146" spans="1:6" x14ac:dyDescent="0.25">
      <c r="A146" s="71"/>
      <c r="B146" s="54"/>
      <c r="C146" s="1" t="s">
        <v>421</v>
      </c>
      <c r="D146" s="1" t="s">
        <v>17</v>
      </c>
      <c r="E146" s="1">
        <v>1</v>
      </c>
      <c r="F146" t="s">
        <v>920</v>
      </c>
    </row>
    <row r="147" spans="1:6" x14ac:dyDescent="0.25">
      <c r="A147" s="71"/>
      <c r="B147" s="54"/>
      <c r="C147" s="1" t="s">
        <v>405</v>
      </c>
      <c r="D147" s="1" t="s">
        <v>29</v>
      </c>
      <c r="E147" s="1">
        <v>0.23</v>
      </c>
    </row>
    <row r="148" spans="1:6" x14ac:dyDescent="0.25">
      <c r="A148" s="71"/>
      <c r="B148" s="54"/>
      <c r="C148" s="1" t="s">
        <v>608</v>
      </c>
      <c r="D148" s="1" t="s">
        <v>17</v>
      </c>
      <c r="E148" s="1">
        <v>3</v>
      </c>
    </row>
    <row r="149" spans="1:6" x14ac:dyDescent="0.25">
      <c r="A149" s="71"/>
      <c r="B149" s="54"/>
      <c r="C149" s="1" t="s">
        <v>245</v>
      </c>
      <c r="D149" s="1" t="s">
        <v>17</v>
      </c>
      <c r="E149" s="1">
        <v>0.36</v>
      </c>
    </row>
    <row r="150" spans="1:6" x14ac:dyDescent="0.25">
      <c r="A150" s="71"/>
      <c r="B150" s="54"/>
      <c r="C150" s="1" t="s">
        <v>261</v>
      </c>
      <c r="D150" s="1" t="s">
        <v>17</v>
      </c>
      <c r="E150" s="1">
        <v>4.5780000000000003</v>
      </c>
    </row>
    <row r="151" spans="1:6" x14ac:dyDescent="0.25">
      <c r="A151" s="71"/>
      <c r="B151" s="54"/>
      <c r="C151" s="1" t="s">
        <v>915</v>
      </c>
      <c r="D151" s="31" t="s">
        <v>916</v>
      </c>
      <c r="E151" s="1">
        <v>0.25</v>
      </c>
    </row>
    <row r="152" spans="1:6" x14ac:dyDescent="0.25">
      <c r="A152" s="71"/>
      <c r="B152" s="54"/>
      <c r="C152" s="1" t="s">
        <v>321</v>
      </c>
      <c r="D152" s="1" t="s">
        <v>17</v>
      </c>
      <c r="E152" s="1">
        <v>0.8</v>
      </c>
    </row>
    <row r="153" spans="1:6" x14ac:dyDescent="0.25">
      <c r="A153" s="71"/>
      <c r="B153" s="54"/>
      <c r="C153" s="1" t="s">
        <v>341</v>
      </c>
      <c r="D153" s="1" t="s">
        <v>17</v>
      </c>
      <c r="E153" s="1">
        <v>0.85799999999999998</v>
      </c>
    </row>
    <row r="154" spans="1:6" x14ac:dyDescent="0.25">
      <c r="A154" s="71"/>
      <c r="B154" s="47" t="s">
        <v>199</v>
      </c>
      <c r="C154" s="48"/>
      <c r="D154" s="49"/>
      <c r="E154" s="7">
        <f>SUM(E140:E153)</f>
        <v>17.952000000000002</v>
      </c>
    </row>
    <row r="155" spans="1:6" x14ac:dyDescent="0.25">
      <c r="A155" s="71"/>
    </row>
    <row r="156" spans="1:6" x14ac:dyDescent="0.25">
      <c r="A156" s="71"/>
      <c r="B156" s="53" t="s">
        <v>315</v>
      </c>
      <c r="C156" s="1" t="s">
        <v>0</v>
      </c>
      <c r="D156" s="1" t="s">
        <v>314</v>
      </c>
      <c r="E156" s="1" t="s">
        <v>9</v>
      </c>
    </row>
    <row r="157" spans="1:6" x14ac:dyDescent="0.25">
      <c r="A157" s="71"/>
      <c r="B157" s="54"/>
      <c r="C157" s="1" t="s">
        <v>607</v>
      </c>
      <c r="D157" s="1" t="s">
        <v>17</v>
      </c>
      <c r="E157" s="1">
        <v>1</v>
      </c>
    </row>
    <row r="158" spans="1:6" x14ac:dyDescent="0.25">
      <c r="A158" s="71"/>
      <c r="B158" s="54"/>
      <c r="C158" s="1" t="s">
        <v>312</v>
      </c>
      <c r="D158" s="1" t="s">
        <v>17</v>
      </c>
      <c r="E158" s="1">
        <v>3.33</v>
      </c>
    </row>
    <row r="159" spans="1:6" x14ac:dyDescent="0.25">
      <c r="A159" s="71"/>
      <c r="B159" s="54"/>
      <c r="C159" s="1" t="s">
        <v>310</v>
      </c>
      <c r="D159" s="1" t="s">
        <v>184</v>
      </c>
      <c r="E159" s="1">
        <v>0.51</v>
      </c>
    </row>
    <row r="160" spans="1:6" x14ac:dyDescent="0.25">
      <c r="A160" s="71"/>
      <c r="B160" s="55"/>
      <c r="C160" s="1" t="s">
        <v>343</v>
      </c>
      <c r="D160" s="1" t="s">
        <v>184</v>
      </c>
      <c r="E160" s="1">
        <v>0.45500000000000002</v>
      </c>
    </row>
    <row r="161" spans="1:5" x14ac:dyDescent="0.25">
      <c r="A161" s="78"/>
      <c r="B161" s="74" t="s">
        <v>199</v>
      </c>
      <c r="C161" s="75"/>
      <c r="D161" s="76"/>
      <c r="E161" s="19">
        <f>SUM(E157:E160)</f>
        <v>5.2949999999999999</v>
      </c>
    </row>
    <row r="162" spans="1:5" x14ac:dyDescent="0.25">
      <c r="A162" s="90" t="s">
        <v>216</v>
      </c>
      <c r="B162" s="91"/>
      <c r="C162" s="91"/>
      <c r="D162" s="92"/>
      <c r="E162" s="7">
        <f>E154+E161</f>
        <v>23.247</v>
      </c>
    </row>
    <row r="164" spans="1:5" x14ac:dyDescent="0.25">
      <c r="A164" s="79" t="s">
        <v>732</v>
      </c>
      <c r="B164" s="1" t="s">
        <v>0</v>
      </c>
      <c r="C164" s="1" t="s">
        <v>202</v>
      </c>
      <c r="D164" s="1" t="s">
        <v>9</v>
      </c>
    </row>
    <row r="165" spans="1:5" x14ac:dyDescent="0.25">
      <c r="A165" s="80"/>
      <c r="B165" s="1" t="s">
        <v>22</v>
      </c>
      <c r="C165" s="2" t="s">
        <v>219</v>
      </c>
      <c r="D165" s="1">
        <v>2.16</v>
      </c>
    </row>
    <row r="166" spans="1:5" x14ac:dyDescent="0.25">
      <c r="A166" s="80"/>
      <c r="B166" s="1" t="s">
        <v>220</v>
      </c>
      <c r="C166" s="3" t="s">
        <v>197</v>
      </c>
      <c r="D166" s="1">
        <v>2.8719999999999999</v>
      </c>
    </row>
    <row r="167" spans="1:5" x14ac:dyDescent="0.25">
      <c r="A167" s="80"/>
      <c r="B167" s="1" t="s">
        <v>221</v>
      </c>
      <c r="C167" s="3" t="s">
        <v>223</v>
      </c>
      <c r="D167" s="1">
        <v>21.15</v>
      </c>
    </row>
    <row r="168" spans="1:5" x14ac:dyDescent="0.25">
      <c r="A168" s="80"/>
      <c r="B168" s="1" t="s">
        <v>222</v>
      </c>
      <c r="C168" s="3" t="s">
        <v>224</v>
      </c>
      <c r="D168" s="1">
        <v>0.16</v>
      </c>
    </row>
    <row r="169" spans="1:5" x14ac:dyDescent="0.25">
      <c r="A169" s="80"/>
      <c r="B169" s="1" t="s">
        <v>225</v>
      </c>
      <c r="C169" s="1" t="s">
        <v>11</v>
      </c>
      <c r="D169" s="1">
        <v>0.63</v>
      </c>
    </row>
    <row r="170" spans="1:5" x14ac:dyDescent="0.25">
      <c r="A170" s="80"/>
      <c r="B170" s="1" t="s">
        <v>5</v>
      </c>
      <c r="C170" s="1" t="s">
        <v>165</v>
      </c>
      <c r="D170" s="1">
        <v>7.6</v>
      </c>
    </row>
    <row r="171" spans="1:5" x14ac:dyDescent="0.25">
      <c r="A171" s="81"/>
      <c r="B171" s="1" t="s">
        <v>226</v>
      </c>
      <c r="C171" s="1" t="s">
        <v>227</v>
      </c>
      <c r="D171" s="1">
        <v>0.48</v>
      </c>
    </row>
    <row r="172" spans="1:5" x14ac:dyDescent="0.25">
      <c r="A172" s="12" t="s">
        <v>216</v>
      </c>
      <c r="B172" s="12"/>
      <c r="C172" s="12"/>
      <c r="D172" s="7">
        <f>SUM(D165:D171)</f>
        <v>35.051999999999992</v>
      </c>
    </row>
    <row r="174" spans="1:5" x14ac:dyDescent="0.25">
      <c r="A174" s="79" t="s">
        <v>289</v>
      </c>
      <c r="B174" s="1" t="s">
        <v>0</v>
      </c>
      <c r="C174" s="1" t="s">
        <v>202</v>
      </c>
      <c r="D174" s="1" t="s">
        <v>9</v>
      </c>
    </row>
    <row r="175" spans="1:5" x14ac:dyDescent="0.25">
      <c r="A175" s="80"/>
      <c r="B175" s="1" t="s">
        <v>417</v>
      </c>
      <c r="C175" s="1" t="s">
        <v>517</v>
      </c>
      <c r="D175" s="1">
        <v>56</v>
      </c>
    </row>
    <row r="176" spans="1:5" x14ac:dyDescent="0.25">
      <c r="A176" s="80"/>
      <c r="B176" s="1" t="s">
        <v>22</v>
      </c>
      <c r="C176" s="2" t="s">
        <v>228</v>
      </c>
      <c r="D176" s="1">
        <v>2.7</v>
      </c>
    </row>
    <row r="177" spans="1:4" x14ac:dyDescent="0.25">
      <c r="A177" s="80"/>
      <c r="B177" s="1" t="s">
        <v>226</v>
      </c>
      <c r="C177" s="3" t="s">
        <v>229</v>
      </c>
      <c r="D177" s="1">
        <v>0.67</v>
      </c>
    </row>
    <row r="178" spans="1:4" x14ac:dyDescent="0.25">
      <c r="A178" s="80"/>
      <c r="B178" s="1" t="s">
        <v>230</v>
      </c>
      <c r="C178" s="3" t="s">
        <v>231</v>
      </c>
      <c r="D178" s="1">
        <v>3.2949999999999999</v>
      </c>
    </row>
    <row r="179" spans="1:4" x14ac:dyDescent="0.25">
      <c r="A179" s="80"/>
      <c r="B179" s="1" t="s">
        <v>232</v>
      </c>
      <c r="C179" s="3" t="s">
        <v>233</v>
      </c>
      <c r="D179" s="1">
        <v>0.7</v>
      </c>
    </row>
    <row r="180" spans="1:4" x14ac:dyDescent="0.25">
      <c r="A180" s="80"/>
      <c r="B180" s="1" t="s">
        <v>234</v>
      </c>
      <c r="C180" s="1" t="s">
        <v>235</v>
      </c>
      <c r="D180" s="1">
        <v>5.6520000000000001</v>
      </c>
    </row>
    <row r="181" spans="1:4" x14ac:dyDescent="0.25">
      <c r="A181" s="81"/>
      <c r="B181" s="1" t="s">
        <v>236</v>
      </c>
      <c r="C181" s="1" t="s">
        <v>181</v>
      </c>
      <c r="D181" s="1">
        <v>4.5</v>
      </c>
    </row>
    <row r="182" spans="1:4" x14ac:dyDescent="0.25">
      <c r="A182" s="12" t="s">
        <v>216</v>
      </c>
      <c r="B182" s="12"/>
      <c r="C182" s="12"/>
      <c r="D182" s="7">
        <f>SUM(D175:D181)</f>
        <v>73.51700000000001</v>
      </c>
    </row>
    <row r="189" spans="1:4" x14ac:dyDescent="0.25">
      <c r="A189" s="79" t="s">
        <v>367</v>
      </c>
      <c r="B189" s="1" t="s">
        <v>0</v>
      </c>
      <c r="C189" s="1" t="s">
        <v>202</v>
      </c>
      <c r="D189" s="1" t="s">
        <v>9</v>
      </c>
    </row>
    <row r="190" spans="1:4" x14ac:dyDescent="0.25">
      <c r="A190" s="80"/>
      <c r="B190" s="1" t="s">
        <v>230</v>
      </c>
      <c r="C190" s="3" t="s">
        <v>237</v>
      </c>
      <c r="D190" s="1">
        <v>0.56899999999999995</v>
      </c>
    </row>
    <row r="191" spans="1:4" x14ac:dyDescent="0.25">
      <c r="A191" s="80"/>
      <c r="B191" s="1" t="s">
        <v>238</v>
      </c>
      <c r="C191" s="3" t="s">
        <v>239</v>
      </c>
      <c r="D191" s="1">
        <v>1.19</v>
      </c>
    </row>
    <row r="192" spans="1:4" x14ac:dyDescent="0.25">
      <c r="A192" s="80"/>
      <c r="B192" s="1" t="s">
        <v>234</v>
      </c>
      <c r="C192" s="3" t="s">
        <v>240</v>
      </c>
      <c r="D192" s="1">
        <v>9.9890000000000008</v>
      </c>
    </row>
    <row r="193" spans="1:4" x14ac:dyDescent="0.25">
      <c r="A193" s="80"/>
      <c r="B193" s="1" t="s">
        <v>236</v>
      </c>
      <c r="C193" s="3" t="s">
        <v>241</v>
      </c>
      <c r="D193" s="1">
        <v>0.81</v>
      </c>
    </row>
    <row r="194" spans="1:4" x14ac:dyDescent="0.25">
      <c r="A194" s="80"/>
      <c r="B194" s="1"/>
      <c r="C194" s="1"/>
      <c r="D194" s="1"/>
    </row>
    <row r="195" spans="1:4" x14ac:dyDescent="0.25">
      <c r="A195" s="81"/>
      <c r="B195" s="1"/>
      <c r="C195" s="1"/>
      <c r="D195" s="1"/>
    </row>
    <row r="196" spans="1:4" ht="15" customHeight="1" x14ac:dyDescent="0.25">
      <c r="A196" s="9" t="s">
        <v>216</v>
      </c>
      <c r="B196" s="10"/>
      <c r="C196" s="11"/>
      <c r="D196" s="7">
        <f>SUM(D190:D195)</f>
        <v>12.558000000000002</v>
      </c>
    </row>
    <row r="197" spans="1:4" ht="15" customHeight="1" x14ac:dyDescent="0.25"/>
    <row r="198" spans="1:4" x14ac:dyDescent="0.25">
      <c r="A198" s="69" t="s">
        <v>516</v>
      </c>
      <c r="B198" s="1" t="s">
        <v>0</v>
      </c>
      <c r="C198" s="1" t="s">
        <v>202</v>
      </c>
      <c r="D198" s="1" t="s">
        <v>9</v>
      </c>
    </row>
    <row r="199" spans="1:4" x14ac:dyDescent="0.25">
      <c r="A199" s="69"/>
      <c r="B199" s="1" t="s">
        <v>251</v>
      </c>
      <c r="C199" s="3" t="s">
        <v>166</v>
      </c>
      <c r="D199" s="1">
        <v>0.05</v>
      </c>
    </row>
    <row r="200" spans="1:4" x14ac:dyDescent="0.25">
      <c r="A200" s="69"/>
      <c r="B200" s="1" t="s">
        <v>253</v>
      </c>
      <c r="C200" s="3" t="s">
        <v>166</v>
      </c>
      <c r="D200" s="1">
        <v>0.22500000000000001</v>
      </c>
    </row>
    <row r="201" spans="1:4" x14ac:dyDescent="0.25">
      <c r="A201" s="69"/>
      <c r="B201" s="1" t="s">
        <v>252</v>
      </c>
      <c r="C201" s="3" t="s">
        <v>166</v>
      </c>
      <c r="D201" s="1">
        <v>5.8000000000000003E-2</v>
      </c>
    </row>
    <row r="202" spans="1:4" x14ac:dyDescent="0.25">
      <c r="A202" s="69"/>
      <c r="B202" s="1" t="s">
        <v>23</v>
      </c>
      <c r="C202" s="3" t="s">
        <v>166</v>
      </c>
      <c r="D202" s="1">
        <v>0.32500000000000001</v>
      </c>
    </row>
    <row r="203" spans="1:4" x14ac:dyDescent="0.25">
      <c r="A203" s="69"/>
      <c r="B203" s="1" t="s">
        <v>254</v>
      </c>
      <c r="C203" s="1" t="s">
        <v>167</v>
      </c>
      <c r="D203" s="1">
        <v>0.2</v>
      </c>
    </row>
    <row r="204" spans="1:4" x14ac:dyDescent="0.25">
      <c r="A204" s="69"/>
      <c r="B204" s="1"/>
      <c r="C204" s="1"/>
      <c r="D204" s="1"/>
    </row>
    <row r="205" spans="1:4" x14ac:dyDescent="0.25">
      <c r="A205" s="77"/>
      <c r="B205" s="77"/>
      <c r="C205" s="77"/>
      <c r="D205" s="7">
        <f>SUM(D199:D204)</f>
        <v>0.8580000000000001</v>
      </c>
    </row>
    <row r="207" spans="1:4" x14ac:dyDescent="0.25">
      <c r="A207" s="69" t="s">
        <v>574</v>
      </c>
      <c r="B207" s="1" t="s">
        <v>0</v>
      </c>
      <c r="C207" s="1" t="s">
        <v>202</v>
      </c>
      <c r="D207" s="1" t="s">
        <v>9</v>
      </c>
    </row>
    <row r="208" spans="1:4" x14ac:dyDescent="0.25">
      <c r="A208" s="69"/>
      <c r="B208" s="1" t="s">
        <v>278</v>
      </c>
      <c r="C208" s="3" t="s">
        <v>362</v>
      </c>
      <c r="D208" s="1">
        <v>0.05</v>
      </c>
    </row>
    <row r="209" spans="1:4" x14ac:dyDescent="0.25">
      <c r="A209" s="69"/>
      <c r="B209" s="1" t="s">
        <v>279</v>
      </c>
      <c r="C209" s="3" t="s">
        <v>363</v>
      </c>
      <c r="D209" s="1">
        <v>0.13</v>
      </c>
    </row>
    <row r="210" spans="1:4" x14ac:dyDescent="0.25">
      <c r="A210" s="69"/>
      <c r="B210" s="1" t="s">
        <v>280</v>
      </c>
      <c r="C210" s="3" t="s">
        <v>364</v>
      </c>
      <c r="D210" s="1">
        <v>0.27</v>
      </c>
    </row>
    <row r="211" spans="1:4" x14ac:dyDescent="0.25">
      <c r="A211" s="69"/>
      <c r="B211" s="1" t="s">
        <v>281</v>
      </c>
      <c r="C211" s="3" t="s">
        <v>365</v>
      </c>
      <c r="D211" s="1">
        <v>1.2</v>
      </c>
    </row>
    <row r="212" spans="1:4" x14ac:dyDescent="0.25">
      <c r="A212" s="69"/>
      <c r="B212" s="1" t="s">
        <v>366</v>
      </c>
      <c r="C212" s="1"/>
      <c r="D212" s="1">
        <v>3.2</v>
      </c>
    </row>
    <row r="213" spans="1:4" x14ac:dyDescent="0.25">
      <c r="A213" s="69"/>
      <c r="B213" s="1"/>
      <c r="C213" s="1"/>
      <c r="D213" s="1"/>
    </row>
    <row r="214" spans="1:4" x14ac:dyDescent="0.25">
      <c r="A214" s="77"/>
      <c r="B214" s="77"/>
      <c r="C214" s="77"/>
      <c r="D214" s="7">
        <f>SUM(D208:D213)</f>
        <v>4.8499999999999996</v>
      </c>
    </row>
    <row r="216" spans="1:4" x14ac:dyDescent="0.25">
      <c r="A216" s="69" t="s">
        <v>315</v>
      </c>
      <c r="B216" s="1" t="s">
        <v>0</v>
      </c>
      <c r="C216" s="1" t="s">
        <v>314</v>
      </c>
      <c r="D216" s="1" t="s">
        <v>9</v>
      </c>
    </row>
    <row r="217" spans="1:4" x14ac:dyDescent="0.25">
      <c r="A217" s="69"/>
      <c r="B217" s="1" t="s">
        <v>310</v>
      </c>
      <c r="C217" s="1" t="s">
        <v>257</v>
      </c>
      <c r="D217" s="1">
        <v>1.512</v>
      </c>
    </row>
    <row r="218" spans="1:4" x14ac:dyDescent="0.25">
      <c r="A218" s="69"/>
      <c r="B218" s="1" t="s">
        <v>311</v>
      </c>
      <c r="C218" s="1" t="s">
        <v>257</v>
      </c>
      <c r="D218" s="1">
        <v>3</v>
      </c>
    </row>
    <row r="219" spans="1:4" x14ac:dyDescent="0.25">
      <c r="A219" s="69"/>
      <c r="B219" s="1" t="s">
        <v>312</v>
      </c>
      <c r="C219" s="1" t="s">
        <v>257</v>
      </c>
      <c r="D219" s="1">
        <v>9.9149999999999991</v>
      </c>
    </row>
    <row r="220" spans="1:4" x14ac:dyDescent="0.25">
      <c r="A220" s="69"/>
      <c r="B220" s="1" t="s">
        <v>313</v>
      </c>
      <c r="C220" s="1" t="s">
        <v>184</v>
      </c>
      <c r="D220" s="1">
        <v>1.95</v>
      </c>
    </row>
    <row r="221" spans="1:4" x14ac:dyDescent="0.25">
      <c r="A221" s="50"/>
      <c r="B221" s="50"/>
      <c r="C221" s="50"/>
      <c r="D221" s="7">
        <f>SUM(D217:D220)</f>
        <v>16.376999999999999</v>
      </c>
    </row>
    <row r="223" spans="1:4" x14ac:dyDescent="0.25">
      <c r="A223" s="53" t="s">
        <v>329</v>
      </c>
      <c r="B223" s="1" t="s">
        <v>0</v>
      </c>
      <c r="C223" s="1" t="s">
        <v>202</v>
      </c>
      <c r="D223" s="1" t="s">
        <v>9</v>
      </c>
    </row>
    <row r="224" spans="1:4" x14ac:dyDescent="0.25">
      <c r="A224" s="54"/>
      <c r="B224" s="1" t="s">
        <v>330</v>
      </c>
      <c r="C224" s="1" t="s">
        <v>197</v>
      </c>
      <c r="D224" s="1">
        <v>3.6</v>
      </c>
    </row>
    <row r="225" spans="1:4" x14ac:dyDescent="0.25">
      <c r="A225" s="54"/>
      <c r="B225" s="1" t="s">
        <v>232</v>
      </c>
      <c r="C225" s="1" t="s">
        <v>233</v>
      </c>
      <c r="D225" s="1">
        <v>0.7</v>
      </c>
    </row>
    <row r="226" spans="1:4" x14ac:dyDescent="0.25">
      <c r="A226" s="54"/>
      <c r="B226" s="1" t="s">
        <v>331</v>
      </c>
      <c r="C226" s="1" t="s">
        <v>244</v>
      </c>
      <c r="D226" s="1">
        <v>0.6</v>
      </c>
    </row>
    <row r="227" spans="1:4" x14ac:dyDescent="0.25">
      <c r="A227" s="54"/>
      <c r="B227" s="1" t="s">
        <v>332</v>
      </c>
      <c r="C227" s="1" t="s">
        <v>165</v>
      </c>
      <c r="D227" s="1">
        <v>9.6</v>
      </c>
    </row>
    <row r="228" spans="1:4" x14ac:dyDescent="0.25">
      <c r="A228" s="55"/>
      <c r="B228" s="17" t="s">
        <v>323</v>
      </c>
      <c r="C228" s="17" t="s">
        <v>333</v>
      </c>
      <c r="D228" s="17">
        <v>4</v>
      </c>
    </row>
    <row r="229" spans="1:4" x14ac:dyDescent="0.25">
      <c r="A229" s="50"/>
      <c r="B229" s="50"/>
      <c r="C229" s="50"/>
      <c r="D229" s="7">
        <f>SUM(D224:D228)</f>
        <v>18.5</v>
      </c>
    </row>
    <row r="231" spans="1:4" x14ac:dyDescent="0.25">
      <c r="A231" s="53" t="s">
        <v>344</v>
      </c>
      <c r="B231" s="1" t="s">
        <v>0</v>
      </c>
      <c r="C231" s="1" t="s">
        <v>202</v>
      </c>
      <c r="D231" s="1" t="s">
        <v>9</v>
      </c>
    </row>
    <row r="232" spans="1:4" x14ac:dyDescent="0.25">
      <c r="A232" s="54"/>
      <c r="B232" s="1" t="s">
        <v>345</v>
      </c>
      <c r="C232" s="1" t="s">
        <v>29</v>
      </c>
      <c r="D232" s="1">
        <v>0.25</v>
      </c>
    </row>
    <row r="233" spans="1:4" x14ac:dyDescent="0.25">
      <c r="A233" s="54"/>
      <c r="B233" s="1" t="s">
        <v>346</v>
      </c>
      <c r="C233" s="1" t="s">
        <v>167</v>
      </c>
      <c r="D233" s="1">
        <v>0.1</v>
      </c>
    </row>
    <row r="234" spans="1:4" x14ac:dyDescent="0.25">
      <c r="A234" s="54"/>
      <c r="B234" s="1" t="s">
        <v>347</v>
      </c>
      <c r="C234" s="1" t="s">
        <v>167</v>
      </c>
      <c r="D234" s="1">
        <v>0.2</v>
      </c>
    </row>
    <row r="235" spans="1:4" x14ac:dyDescent="0.25">
      <c r="A235" s="54"/>
      <c r="B235" s="1" t="s">
        <v>338</v>
      </c>
      <c r="C235" s="1" t="s">
        <v>166</v>
      </c>
      <c r="D235" s="1">
        <v>0.3</v>
      </c>
    </row>
    <row r="236" spans="1:4" x14ac:dyDescent="0.25">
      <c r="A236" s="50"/>
      <c r="B236" s="50"/>
      <c r="C236" s="50"/>
      <c r="D236" s="7">
        <f>SUM(D232:D235)</f>
        <v>0.85000000000000009</v>
      </c>
    </row>
    <row r="239" spans="1:4" x14ac:dyDescent="0.25">
      <c r="A239" s="53" t="s">
        <v>258</v>
      </c>
      <c r="B239" s="1" t="s">
        <v>0</v>
      </c>
      <c r="C239" s="1" t="s">
        <v>202</v>
      </c>
      <c r="D239" s="1" t="s">
        <v>9</v>
      </c>
    </row>
    <row r="240" spans="1:4" x14ac:dyDescent="0.25">
      <c r="A240" s="54"/>
      <c r="B240" s="1" t="s">
        <v>348</v>
      </c>
      <c r="C240" s="1" t="s">
        <v>29</v>
      </c>
      <c r="D240" s="1">
        <v>0.17</v>
      </c>
    </row>
    <row r="241" spans="1:4" x14ac:dyDescent="0.25">
      <c r="A241" s="54"/>
      <c r="B241" s="1" t="s">
        <v>349</v>
      </c>
      <c r="C241" s="1" t="s">
        <v>167</v>
      </c>
      <c r="D241" s="1">
        <v>0.03</v>
      </c>
    </row>
    <row r="242" spans="1:4" x14ac:dyDescent="0.25">
      <c r="A242" s="54"/>
      <c r="B242" s="1" t="s">
        <v>23</v>
      </c>
      <c r="C242" s="1" t="s">
        <v>167</v>
      </c>
      <c r="D242" s="1">
        <v>0.11</v>
      </c>
    </row>
    <row r="243" spans="1:4" x14ac:dyDescent="0.25">
      <c r="A243" s="54"/>
      <c r="B243" s="1" t="s">
        <v>247</v>
      </c>
      <c r="C243" s="1" t="s">
        <v>167</v>
      </c>
      <c r="D243" s="1">
        <v>0.03</v>
      </c>
    </row>
    <row r="244" spans="1:4" x14ac:dyDescent="0.25">
      <c r="A244" s="50"/>
      <c r="B244" s="50"/>
      <c r="C244" s="50"/>
      <c r="D244" s="7">
        <f>SUM(D240:D243)</f>
        <v>0.33999999999999997</v>
      </c>
    </row>
    <row r="247" spans="1:4" x14ac:dyDescent="0.25">
      <c r="A247" s="53" t="s">
        <v>350</v>
      </c>
      <c r="B247" s="1" t="s">
        <v>0</v>
      </c>
      <c r="C247" s="1" t="s">
        <v>202</v>
      </c>
      <c r="D247" s="1" t="s">
        <v>9</v>
      </c>
    </row>
    <row r="248" spans="1:4" x14ac:dyDescent="0.25">
      <c r="A248" s="54"/>
      <c r="B248" s="1" t="s">
        <v>351</v>
      </c>
      <c r="C248" s="1" t="s">
        <v>29</v>
      </c>
      <c r="D248" s="1">
        <v>0.3</v>
      </c>
    </row>
    <row r="249" spans="1:4" x14ac:dyDescent="0.25">
      <c r="A249" s="54"/>
      <c r="B249" s="1" t="s">
        <v>352</v>
      </c>
      <c r="C249" s="1" t="s">
        <v>29</v>
      </c>
      <c r="D249" s="1">
        <v>0.18</v>
      </c>
    </row>
    <row r="250" spans="1:4" x14ac:dyDescent="0.25">
      <c r="A250" s="54"/>
      <c r="B250" s="1" t="s">
        <v>346</v>
      </c>
      <c r="C250" s="1" t="s">
        <v>167</v>
      </c>
      <c r="D250" s="1">
        <v>0.31</v>
      </c>
    </row>
    <row r="251" spans="1:4" x14ac:dyDescent="0.25">
      <c r="A251" s="54"/>
      <c r="B251" s="1"/>
      <c r="C251" s="1"/>
      <c r="D251" s="1"/>
    </row>
    <row r="252" spans="1:4" x14ac:dyDescent="0.25">
      <c r="A252" s="50"/>
      <c r="B252" s="50"/>
      <c r="C252" s="50"/>
      <c r="D252" s="7">
        <f>SUM(D248:D250)</f>
        <v>0.79</v>
      </c>
    </row>
    <row r="254" spans="1:4" x14ac:dyDescent="0.25">
      <c r="A254" s="87" t="s">
        <v>353</v>
      </c>
      <c r="B254" s="1" t="s">
        <v>0</v>
      </c>
      <c r="C254" s="1" t="s">
        <v>202</v>
      </c>
      <c r="D254" s="1" t="s">
        <v>9</v>
      </c>
    </row>
    <row r="255" spans="1:4" x14ac:dyDescent="0.25">
      <c r="A255" s="88"/>
      <c r="B255" s="1" t="s">
        <v>354</v>
      </c>
      <c r="C255" s="1" t="s">
        <v>17</v>
      </c>
      <c r="D255" s="1">
        <v>1.75</v>
      </c>
    </row>
    <row r="256" spans="1:4" x14ac:dyDescent="0.25">
      <c r="A256" s="88"/>
      <c r="B256" s="1" t="s">
        <v>355</v>
      </c>
      <c r="C256" s="1" t="s">
        <v>12</v>
      </c>
      <c r="D256" s="1">
        <v>0.3</v>
      </c>
    </row>
    <row r="257" spans="1:5" x14ac:dyDescent="0.25">
      <c r="A257" s="88"/>
      <c r="B257" s="1" t="s">
        <v>283</v>
      </c>
      <c r="C257" s="1" t="s">
        <v>29</v>
      </c>
      <c r="D257" s="1">
        <v>0.52</v>
      </c>
    </row>
    <row r="258" spans="1:5" x14ac:dyDescent="0.25">
      <c r="A258" s="88"/>
      <c r="B258" s="1" t="s">
        <v>5</v>
      </c>
      <c r="C258" s="1" t="s">
        <v>167</v>
      </c>
      <c r="D258" s="1">
        <v>0.19</v>
      </c>
    </row>
    <row r="259" spans="1:5" x14ac:dyDescent="0.25">
      <c r="A259" s="88"/>
      <c r="B259" s="1" t="s">
        <v>358</v>
      </c>
      <c r="C259" s="1" t="s">
        <v>167</v>
      </c>
      <c r="D259" s="1">
        <v>0.2</v>
      </c>
    </row>
    <row r="260" spans="1:5" x14ac:dyDescent="0.25">
      <c r="A260" s="88"/>
      <c r="B260" s="1" t="s">
        <v>356</v>
      </c>
      <c r="C260" s="1" t="s">
        <v>357</v>
      </c>
      <c r="D260" s="1">
        <v>0.04</v>
      </c>
    </row>
    <row r="261" spans="1:5" x14ac:dyDescent="0.25">
      <c r="A261" s="50"/>
      <c r="B261" s="50"/>
      <c r="C261" s="50"/>
      <c r="D261" s="7">
        <f>SUM(D255:D260)</f>
        <v>3</v>
      </c>
    </row>
    <row r="263" spans="1:5" x14ac:dyDescent="0.25">
      <c r="A263" s="72" t="s">
        <v>359</v>
      </c>
      <c r="B263" s="1" t="s">
        <v>0</v>
      </c>
      <c r="C263" s="1" t="s">
        <v>202</v>
      </c>
      <c r="D263" s="1" t="s">
        <v>9</v>
      </c>
    </row>
    <row r="264" spans="1:5" x14ac:dyDescent="0.25">
      <c r="A264" s="73"/>
      <c r="B264" s="1" t="s">
        <v>354</v>
      </c>
      <c r="C264" s="1" t="s">
        <v>17</v>
      </c>
      <c r="D264" s="1">
        <v>1.75</v>
      </c>
    </row>
    <row r="265" spans="1:5" x14ac:dyDescent="0.25">
      <c r="A265" s="73"/>
      <c r="B265" s="1" t="s">
        <v>360</v>
      </c>
      <c r="C265" s="1" t="s">
        <v>171</v>
      </c>
      <c r="D265" s="1">
        <v>2</v>
      </c>
    </row>
    <row r="266" spans="1:5" x14ac:dyDescent="0.25">
      <c r="A266" s="73"/>
      <c r="B266" s="1" t="s">
        <v>361</v>
      </c>
      <c r="C266" s="1" t="s">
        <v>357</v>
      </c>
      <c r="D266" s="1">
        <v>2.5</v>
      </c>
    </row>
    <row r="267" spans="1:5" x14ac:dyDescent="0.25">
      <c r="A267" s="73"/>
      <c r="B267" s="1" t="s">
        <v>304</v>
      </c>
      <c r="C267" s="1" t="s">
        <v>167</v>
      </c>
      <c r="D267" s="1">
        <v>0.42499999999999999</v>
      </c>
    </row>
    <row r="268" spans="1:5" x14ac:dyDescent="0.25">
      <c r="A268" s="73"/>
      <c r="B268" s="1" t="s">
        <v>306</v>
      </c>
      <c r="C268" s="1" t="s">
        <v>12</v>
      </c>
      <c r="D268" s="1">
        <v>0.24</v>
      </c>
    </row>
    <row r="269" spans="1:5" x14ac:dyDescent="0.25">
      <c r="A269" s="50"/>
      <c r="B269" s="50"/>
      <c r="C269" s="50"/>
      <c r="D269" s="7">
        <f>SUM(D264:D268)</f>
        <v>6.915</v>
      </c>
    </row>
    <row r="271" spans="1:5" x14ac:dyDescent="0.25">
      <c r="A271" s="72" t="s">
        <v>405</v>
      </c>
      <c r="B271" s="1" t="s">
        <v>0</v>
      </c>
      <c r="C271" s="1" t="s">
        <v>395</v>
      </c>
      <c r="D271" s="1" t="s">
        <v>9</v>
      </c>
      <c r="E271" s="86" t="s">
        <v>404</v>
      </c>
    </row>
    <row r="272" spans="1:5" x14ac:dyDescent="0.25">
      <c r="A272" s="73"/>
      <c r="B272" s="1" t="s">
        <v>396</v>
      </c>
      <c r="C272" s="1" t="s">
        <v>333</v>
      </c>
      <c r="D272" s="1">
        <v>9</v>
      </c>
      <c r="E272" s="86"/>
    </row>
    <row r="273" spans="1:5" x14ac:dyDescent="0.25">
      <c r="A273" s="73"/>
      <c r="B273" s="1" t="s">
        <v>397</v>
      </c>
      <c r="C273" s="1" t="s">
        <v>10</v>
      </c>
      <c r="D273" s="1">
        <v>4.5999999999999996</v>
      </c>
      <c r="E273" s="86"/>
    </row>
    <row r="274" spans="1:5" x14ac:dyDescent="0.25">
      <c r="A274" s="73"/>
      <c r="B274" s="1" t="s">
        <v>398</v>
      </c>
      <c r="C274" s="1" t="s">
        <v>10</v>
      </c>
      <c r="D274" s="1">
        <v>5.2</v>
      </c>
      <c r="E274" s="86"/>
    </row>
    <row r="275" spans="1:5" x14ac:dyDescent="0.25">
      <c r="A275" s="73"/>
      <c r="B275" s="1" t="s">
        <v>399</v>
      </c>
      <c r="C275" s="1" t="s">
        <v>10</v>
      </c>
      <c r="D275" s="1">
        <v>7</v>
      </c>
      <c r="E275" s="86"/>
    </row>
    <row r="276" spans="1:5" x14ac:dyDescent="0.25">
      <c r="A276" s="73"/>
      <c r="B276" s="1" t="s">
        <v>5</v>
      </c>
      <c r="C276" s="1" t="s">
        <v>10</v>
      </c>
      <c r="D276" s="1">
        <v>3.7</v>
      </c>
      <c r="E276" s="86"/>
    </row>
    <row r="277" spans="1:5" x14ac:dyDescent="0.25">
      <c r="A277" s="73"/>
      <c r="B277" s="1" t="s">
        <v>400</v>
      </c>
      <c r="C277" s="1" t="s">
        <v>10</v>
      </c>
      <c r="D277" s="1">
        <v>3</v>
      </c>
      <c r="E277" s="86"/>
    </row>
    <row r="278" spans="1:5" x14ac:dyDescent="0.25">
      <c r="A278" s="73"/>
      <c r="B278" s="1" t="s">
        <v>401</v>
      </c>
      <c r="C278" s="1" t="s">
        <v>10</v>
      </c>
      <c r="D278" s="1">
        <v>2.5</v>
      </c>
      <c r="E278" s="86"/>
    </row>
    <row r="279" spans="1:5" x14ac:dyDescent="0.25">
      <c r="A279" s="73"/>
      <c r="B279" s="1" t="s">
        <v>402</v>
      </c>
      <c r="C279" s="1" t="s">
        <v>10</v>
      </c>
      <c r="D279" s="1">
        <v>0.7</v>
      </c>
      <c r="E279" s="86"/>
    </row>
    <row r="280" spans="1:5" x14ac:dyDescent="0.25">
      <c r="A280" s="73"/>
      <c r="B280" s="1" t="s">
        <v>30</v>
      </c>
      <c r="C280" s="1" t="s">
        <v>333</v>
      </c>
      <c r="D280" s="1">
        <v>12</v>
      </c>
      <c r="E280" s="86"/>
    </row>
    <row r="281" spans="1:5" x14ac:dyDescent="0.25">
      <c r="A281" s="73"/>
      <c r="B281" s="1" t="s">
        <v>403</v>
      </c>
      <c r="C281" s="1" t="s">
        <v>10</v>
      </c>
      <c r="D281" s="1">
        <v>2.7</v>
      </c>
      <c r="E281" s="86"/>
    </row>
    <row r="282" spans="1:5" x14ac:dyDescent="0.25">
      <c r="A282" s="50" t="s">
        <v>199</v>
      </c>
      <c r="B282" s="50"/>
      <c r="C282" s="50"/>
      <c r="D282" s="7">
        <f>SUM(D272:D281)</f>
        <v>50.400000000000006</v>
      </c>
      <c r="E282" s="86"/>
    </row>
    <row r="283" spans="1:5" x14ac:dyDescent="0.25">
      <c r="A283" s="56" t="s">
        <v>406</v>
      </c>
      <c r="B283" s="56"/>
      <c r="C283" s="56"/>
      <c r="D283" s="56"/>
      <c r="E283" s="1" t="s">
        <v>407</v>
      </c>
    </row>
    <row r="289" spans="1:4" x14ac:dyDescent="0.25">
      <c r="A289" s="72" t="s">
        <v>408</v>
      </c>
      <c r="B289" s="1" t="s">
        <v>0</v>
      </c>
      <c r="C289" s="1" t="s">
        <v>202</v>
      </c>
      <c r="D289" s="1" t="s">
        <v>9</v>
      </c>
    </row>
    <row r="290" spans="1:4" x14ac:dyDescent="0.25">
      <c r="A290" s="73"/>
      <c r="B290" s="1" t="s">
        <v>409</v>
      </c>
      <c r="C290" s="1" t="s">
        <v>410</v>
      </c>
      <c r="D290" s="1">
        <v>2.85</v>
      </c>
    </row>
    <row r="291" spans="1:4" x14ac:dyDescent="0.25">
      <c r="A291" s="73"/>
      <c r="B291" s="1" t="s">
        <v>405</v>
      </c>
      <c r="C291" s="1" t="s">
        <v>166</v>
      </c>
      <c r="D291" s="1">
        <v>0.34499999999999997</v>
      </c>
    </row>
    <row r="292" spans="1:4" x14ac:dyDescent="0.25">
      <c r="A292" s="73"/>
      <c r="B292" s="1" t="s">
        <v>295</v>
      </c>
      <c r="C292" s="1" t="s">
        <v>29</v>
      </c>
      <c r="D292" s="1">
        <v>0.11</v>
      </c>
    </row>
    <row r="293" spans="1:4" x14ac:dyDescent="0.25">
      <c r="A293" s="73"/>
      <c r="B293" s="1"/>
      <c r="C293" s="1"/>
      <c r="D293" s="1"/>
    </row>
    <row r="294" spans="1:4" x14ac:dyDescent="0.25">
      <c r="A294" s="73"/>
      <c r="B294" s="1"/>
      <c r="C294" s="1"/>
      <c r="D294" s="1"/>
    </row>
    <row r="295" spans="1:4" x14ac:dyDescent="0.25">
      <c r="A295" s="50"/>
      <c r="B295" s="50"/>
      <c r="C295" s="50"/>
      <c r="D295" s="7">
        <f>SUM(D290:D294)</f>
        <v>3.3050000000000002</v>
      </c>
    </row>
    <row r="298" spans="1:4" x14ac:dyDescent="0.25">
      <c r="A298" s="72" t="s">
        <v>323</v>
      </c>
      <c r="B298" s="1" t="s">
        <v>0</v>
      </c>
      <c r="C298" s="1" t="s">
        <v>202</v>
      </c>
      <c r="D298" s="1" t="s">
        <v>9</v>
      </c>
    </row>
    <row r="299" spans="1:4" x14ac:dyDescent="0.25">
      <c r="A299" s="73"/>
      <c r="B299" s="1" t="s">
        <v>323</v>
      </c>
      <c r="C299" s="1" t="s">
        <v>333</v>
      </c>
      <c r="D299" s="1">
        <v>5</v>
      </c>
    </row>
    <row r="300" spans="1:4" x14ac:dyDescent="0.25">
      <c r="A300" s="73"/>
      <c r="B300" s="1" t="s">
        <v>232</v>
      </c>
      <c r="C300" s="1" t="s">
        <v>532</v>
      </c>
      <c r="D300" s="1">
        <v>1.4</v>
      </c>
    </row>
    <row r="301" spans="1:4" x14ac:dyDescent="0.25">
      <c r="A301" s="73"/>
      <c r="B301" s="1" t="s">
        <v>411</v>
      </c>
      <c r="C301" s="1" t="s">
        <v>13</v>
      </c>
      <c r="D301" s="1">
        <v>4.25</v>
      </c>
    </row>
    <row r="302" spans="1:4" x14ac:dyDescent="0.25">
      <c r="A302" s="73"/>
      <c r="B302" s="1" t="s">
        <v>412</v>
      </c>
      <c r="C302" s="1" t="s">
        <v>165</v>
      </c>
      <c r="D302" s="1">
        <v>9</v>
      </c>
    </row>
    <row r="303" spans="1:4" x14ac:dyDescent="0.25">
      <c r="A303" s="73"/>
      <c r="B303" s="1" t="s">
        <v>337</v>
      </c>
      <c r="C303" s="1" t="s">
        <v>14</v>
      </c>
      <c r="D303" s="1">
        <v>0.9</v>
      </c>
    </row>
    <row r="304" spans="1:4" x14ac:dyDescent="0.25">
      <c r="A304" s="73"/>
      <c r="B304" s="1" t="s">
        <v>330</v>
      </c>
      <c r="C304" s="1" t="s">
        <v>244</v>
      </c>
      <c r="D304" s="1">
        <v>3.6</v>
      </c>
    </row>
    <row r="305" spans="1:4" x14ac:dyDescent="0.25">
      <c r="A305" s="73"/>
      <c r="B305" s="1" t="s">
        <v>331</v>
      </c>
      <c r="C305" s="1" t="s">
        <v>244</v>
      </c>
      <c r="D305" s="1">
        <v>0.6</v>
      </c>
    </row>
    <row r="306" spans="1:4" x14ac:dyDescent="0.25">
      <c r="A306" s="50"/>
      <c r="B306" s="50"/>
      <c r="C306" s="50"/>
      <c r="D306" s="7">
        <f>SUM(D299:D305)</f>
        <v>24.75</v>
      </c>
    </row>
    <row r="308" spans="1:4" x14ac:dyDescent="0.25">
      <c r="A308" s="72" t="s">
        <v>512</v>
      </c>
      <c r="B308" s="1" t="s">
        <v>0</v>
      </c>
      <c r="C308" s="1" t="s">
        <v>202</v>
      </c>
      <c r="D308" s="1" t="s">
        <v>9</v>
      </c>
    </row>
    <row r="309" spans="1:4" x14ac:dyDescent="0.25">
      <c r="A309" s="73"/>
      <c r="B309" s="1" t="s">
        <v>210</v>
      </c>
      <c r="C309" s="1" t="s">
        <v>223</v>
      </c>
      <c r="D309" s="1">
        <v>1.5</v>
      </c>
    </row>
    <row r="310" spans="1:4" x14ac:dyDescent="0.25">
      <c r="A310" s="73"/>
      <c r="B310" s="1" t="s">
        <v>283</v>
      </c>
      <c r="C310" s="1" t="s">
        <v>197</v>
      </c>
      <c r="D310" s="1">
        <v>2</v>
      </c>
    </row>
    <row r="311" spans="1:4" x14ac:dyDescent="0.25">
      <c r="A311" s="73"/>
      <c r="B311" s="1" t="s">
        <v>510</v>
      </c>
      <c r="C311" s="1" t="s">
        <v>171</v>
      </c>
      <c r="D311" s="1">
        <v>0.05</v>
      </c>
    </row>
    <row r="312" spans="1:4" x14ac:dyDescent="0.25">
      <c r="A312" s="73"/>
      <c r="B312" s="1" t="s">
        <v>511</v>
      </c>
      <c r="C312" s="1" t="s">
        <v>168</v>
      </c>
      <c r="D312" s="1">
        <v>0.32</v>
      </c>
    </row>
    <row r="313" spans="1:4" x14ac:dyDescent="0.25">
      <c r="A313" s="73"/>
      <c r="B313" s="1"/>
      <c r="C313" s="1"/>
      <c r="D313" s="1"/>
    </row>
    <row r="314" spans="1:4" x14ac:dyDescent="0.25">
      <c r="A314" s="50"/>
      <c r="B314" s="50"/>
      <c r="C314" s="50"/>
      <c r="D314" s="7">
        <f>SUM(D309:D313)</f>
        <v>3.8699999999999997</v>
      </c>
    </row>
    <row r="317" spans="1:4" x14ac:dyDescent="0.25">
      <c r="A317" s="72" t="s">
        <v>513</v>
      </c>
      <c r="B317" s="1" t="s">
        <v>0</v>
      </c>
      <c r="C317" s="1" t="s">
        <v>202</v>
      </c>
      <c r="D317" s="1" t="s">
        <v>9</v>
      </c>
    </row>
    <row r="318" spans="1:4" x14ac:dyDescent="0.25">
      <c r="A318" s="73"/>
      <c r="B318" s="1" t="s">
        <v>514</v>
      </c>
      <c r="C318" s="1" t="s">
        <v>515</v>
      </c>
      <c r="D318" s="1">
        <v>12</v>
      </c>
    </row>
    <row r="319" spans="1:4" x14ac:dyDescent="0.25">
      <c r="A319" s="73"/>
      <c r="B319" s="1" t="s">
        <v>320</v>
      </c>
      <c r="C319" s="1" t="s">
        <v>15</v>
      </c>
      <c r="D319" s="1">
        <v>3</v>
      </c>
    </row>
    <row r="320" spans="1:4" x14ac:dyDescent="0.25">
      <c r="A320" s="73"/>
      <c r="B320" s="1"/>
      <c r="C320" s="1"/>
      <c r="D320" s="1"/>
    </row>
    <row r="321" spans="1:4" x14ac:dyDescent="0.25">
      <c r="A321" s="73"/>
      <c r="B321" s="1"/>
      <c r="C321" s="1"/>
      <c r="D321" s="1"/>
    </row>
    <row r="322" spans="1:4" x14ac:dyDescent="0.25">
      <c r="A322" s="73"/>
      <c r="B322" s="1"/>
      <c r="C322" s="1"/>
      <c r="D322" s="1"/>
    </row>
    <row r="323" spans="1:4" x14ac:dyDescent="0.25">
      <c r="A323" s="50"/>
      <c r="B323" s="50"/>
      <c r="C323" s="50"/>
      <c r="D323" s="7">
        <f>SUM(D318:D322)</f>
        <v>15</v>
      </c>
    </row>
    <row r="326" spans="1:4" x14ac:dyDescent="0.25">
      <c r="A326" s="72" t="s">
        <v>288</v>
      </c>
      <c r="B326" s="1" t="s">
        <v>0</v>
      </c>
      <c r="C326" s="1" t="s">
        <v>202</v>
      </c>
      <c r="D326" s="1" t="s">
        <v>9</v>
      </c>
    </row>
    <row r="327" spans="1:4" x14ac:dyDescent="0.25">
      <c r="A327" s="73"/>
      <c r="B327" s="1" t="s">
        <v>230</v>
      </c>
      <c r="C327" s="1" t="s">
        <v>533</v>
      </c>
      <c r="D327" s="1">
        <v>5.5</v>
      </c>
    </row>
    <row r="328" spans="1:4" x14ac:dyDescent="0.25">
      <c r="A328" s="73"/>
      <c r="B328" s="1" t="s">
        <v>534</v>
      </c>
      <c r="C328" s="1" t="s">
        <v>171</v>
      </c>
      <c r="D328" s="1">
        <v>0.72</v>
      </c>
    </row>
    <row r="329" spans="1:4" x14ac:dyDescent="0.25">
      <c r="A329" s="73"/>
      <c r="B329" s="1" t="s">
        <v>535</v>
      </c>
      <c r="C329" s="1" t="s">
        <v>536</v>
      </c>
      <c r="D329" s="1">
        <v>0.18</v>
      </c>
    </row>
    <row r="330" spans="1:4" x14ac:dyDescent="0.25">
      <c r="A330" s="73"/>
      <c r="B330" s="1" t="s">
        <v>537</v>
      </c>
      <c r="C330" s="1" t="s">
        <v>13</v>
      </c>
      <c r="D330" s="1">
        <v>2</v>
      </c>
    </row>
    <row r="331" spans="1:4" x14ac:dyDescent="0.25">
      <c r="A331" s="73"/>
      <c r="B331" s="1" t="s">
        <v>22</v>
      </c>
      <c r="C331" s="1" t="s">
        <v>170</v>
      </c>
      <c r="D331" s="1">
        <v>0.63</v>
      </c>
    </row>
    <row r="332" spans="1:4" x14ac:dyDescent="0.25">
      <c r="A332" s="73"/>
      <c r="B332" s="1" t="s">
        <v>331</v>
      </c>
      <c r="C332" s="1" t="s">
        <v>165</v>
      </c>
      <c r="D332" s="1">
        <v>0.4</v>
      </c>
    </row>
    <row r="333" spans="1:4" x14ac:dyDescent="0.25">
      <c r="A333" s="50"/>
      <c r="B333" s="50"/>
      <c r="C333" s="50"/>
      <c r="D333" s="7">
        <f>SUM(D327:D332)</f>
        <v>9.43</v>
      </c>
    </row>
    <row r="339" spans="1:4" x14ac:dyDescent="0.25">
      <c r="A339" s="72" t="s">
        <v>541</v>
      </c>
      <c r="B339" s="1" t="s">
        <v>0</v>
      </c>
      <c r="C339" s="1" t="s">
        <v>202</v>
      </c>
      <c r="D339" s="1" t="s">
        <v>9</v>
      </c>
    </row>
    <row r="340" spans="1:4" x14ac:dyDescent="0.25">
      <c r="A340" s="73"/>
      <c r="B340" s="1" t="s">
        <v>542</v>
      </c>
      <c r="C340" s="1" t="s">
        <v>543</v>
      </c>
      <c r="D340" s="1">
        <v>12.5</v>
      </c>
    </row>
    <row r="341" spans="1:4" x14ac:dyDescent="0.25">
      <c r="A341" s="73"/>
      <c r="B341" s="1" t="s">
        <v>211</v>
      </c>
      <c r="C341" s="1" t="s">
        <v>544</v>
      </c>
      <c r="D341" s="1">
        <v>3.6</v>
      </c>
    </row>
    <row r="342" spans="1:4" x14ac:dyDescent="0.25">
      <c r="A342" s="73"/>
      <c r="B342" s="1"/>
      <c r="C342" s="1"/>
      <c r="D342" s="1"/>
    </row>
    <row r="343" spans="1:4" x14ac:dyDescent="0.25">
      <c r="A343" s="73"/>
      <c r="B343" s="1"/>
      <c r="C343" s="1"/>
      <c r="D343" s="1"/>
    </row>
    <row r="344" spans="1:4" ht="15" customHeight="1" x14ac:dyDescent="0.25">
      <c r="A344" s="93"/>
      <c r="B344" s="1"/>
      <c r="C344" s="1"/>
      <c r="D344" s="1"/>
    </row>
    <row r="345" spans="1:4" x14ac:dyDescent="0.25">
      <c r="A345" s="50"/>
      <c r="B345" s="50"/>
      <c r="C345" s="50"/>
      <c r="D345" s="7">
        <f>SUM(D340:D344)</f>
        <v>16.100000000000001</v>
      </c>
    </row>
    <row r="347" spans="1:4" x14ac:dyDescent="0.25">
      <c r="A347" s="51" t="s">
        <v>601</v>
      </c>
      <c r="B347" s="1" t="s">
        <v>0</v>
      </c>
      <c r="C347" s="1" t="s">
        <v>202</v>
      </c>
      <c r="D347" s="1" t="s">
        <v>9</v>
      </c>
    </row>
    <row r="348" spans="1:4" x14ac:dyDescent="0.25">
      <c r="A348" s="52"/>
      <c r="B348" s="1" t="s">
        <v>602</v>
      </c>
      <c r="C348" s="1" t="s">
        <v>14</v>
      </c>
      <c r="D348" s="1">
        <v>3.54</v>
      </c>
    </row>
    <row r="349" spans="1:4" x14ac:dyDescent="0.25">
      <c r="A349" s="52"/>
      <c r="B349" s="1" t="s">
        <v>603</v>
      </c>
      <c r="C349" s="1" t="s">
        <v>292</v>
      </c>
      <c r="D349" s="1">
        <v>1.88</v>
      </c>
    </row>
    <row r="350" spans="1:4" x14ac:dyDescent="0.25">
      <c r="A350" s="52"/>
      <c r="B350" s="1" t="s">
        <v>460</v>
      </c>
      <c r="C350" s="1" t="s">
        <v>174</v>
      </c>
      <c r="D350" s="1">
        <v>1.62</v>
      </c>
    </row>
    <row r="351" spans="1:4" x14ac:dyDescent="0.25">
      <c r="A351" s="52"/>
      <c r="B351" s="1" t="s">
        <v>604</v>
      </c>
      <c r="C351" s="1" t="s">
        <v>165</v>
      </c>
      <c r="D351" s="1">
        <v>2</v>
      </c>
    </row>
    <row r="352" spans="1:4" x14ac:dyDescent="0.25">
      <c r="A352" s="52"/>
      <c r="B352" s="1" t="s">
        <v>605</v>
      </c>
      <c r="C352" s="1" t="s">
        <v>11</v>
      </c>
      <c r="D352" s="1">
        <v>0.77</v>
      </c>
    </row>
    <row r="353" spans="1:4" x14ac:dyDescent="0.25">
      <c r="A353" s="50"/>
      <c r="B353" s="50"/>
      <c r="C353" s="50"/>
      <c r="D353" s="7">
        <f>SUM(D348:D352)</f>
        <v>9.8099999999999987</v>
      </c>
    </row>
    <row r="355" spans="1:4" x14ac:dyDescent="0.25">
      <c r="A355" s="44" t="s">
        <v>609</v>
      </c>
      <c r="B355" s="1" t="s">
        <v>0</v>
      </c>
      <c r="C355" s="1" t="s">
        <v>202</v>
      </c>
      <c r="D355" s="1" t="s">
        <v>9</v>
      </c>
    </row>
    <row r="356" spans="1:4" x14ac:dyDescent="0.25">
      <c r="A356" s="45"/>
      <c r="B356" s="1" t="s">
        <v>610</v>
      </c>
      <c r="C356" s="1" t="s">
        <v>11</v>
      </c>
      <c r="D356" s="1">
        <v>1</v>
      </c>
    </row>
    <row r="357" spans="1:4" x14ac:dyDescent="0.25">
      <c r="A357" s="45"/>
      <c r="B357" s="1" t="s">
        <v>22</v>
      </c>
      <c r="C357" s="1" t="s">
        <v>250</v>
      </c>
      <c r="D357" s="1">
        <v>0.9</v>
      </c>
    </row>
    <row r="358" spans="1:4" x14ac:dyDescent="0.25">
      <c r="A358" s="46"/>
      <c r="B358" s="1" t="s">
        <v>356</v>
      </c>
      <c r="C358" s="1" t="s">
        <v>11</v>
      </c>
      <c r="D358" s="1">
        <v>0.36</v>
      </c>
    </row>
    <row r="359" spans="1:4" x14ac:dyDescent="0.25">
      <c r="A359" s="47"/>
      <c r="B359" s="48"/>
      <c r="C359" s="49"/>
      <c r="D359" s="7">
        <f>SUM(D356:D358)</f>
        <v>2.2599999999999998</v>
      </c>
    </row>
    <row r="362" spans="1:4" x14ac:dyDescent="0.25">
      <c r="A362" s="44" t="s">
        <v>261</v>
      </c>
      <c r="B362" s="1" t="s">
        <v>0</v>
      </c>
      <c r="C362" s="1" t="s">
        <v>202</v>
      </c>
      <c r="D362" s="1" t="s">
        <v>9</v>
      </c>
    </row>
    <row r="363" spans="1:4" x14ac:dyDescent="0.25">
      <c r="A363" s="45"/>
      <c r="B363" s="1" t="s">
        <v>516</v>
      </c>
      <c r="C363" s="1" t="s">
        <v>17</v>
      </c>
      <c r="D363" s="1">
        <v>0.85799999999999998</v>
      </c>
    </row>
    <row r="364" spans="1:4" x14ac:dyDescent="0.25">
      <c r="A364" s="45"/>
      <c r="B364" s="1" t="s">
        <v>340</v>
      </c>
      <c r="C364" s="1" t="s">
        <v>168</v>
      </c>
      <c r="D364" s="1">
        <v>0.4</v>
      </c>
    </row>
    <row r="365" spans="1:4" x14ac:dyDescent="0.25">
      <c r="A365" s="45"/>
      <c r="B365" s="1" t="s">
        <v>262</v>
      </c>
      <c r="C365" s="1" t="s">
        <v>167</v>
      </c>
      <c r="D365" s="1">
        <v>0.24</v>
      </c>
    </row>
    <row r="366" spans="1:4" x14ac:dyDescent="0.25">
      <c r="A366" s="45"/>
      <c r="B366" s="1" t="s">
        <v>358</v>
      </c>
      <c r="C366" s="1" t="s">
        <v>167</v>
      </c>
      <c r="D366" s="1">
        <v>0.5</v>
      </c>
    </row>
    <row r="367" spans="1:4" x14ac:dyDescent="0.25">
      <c r="A367" s="45"/>
      <c r="B367" s="1" t="s">
        <v>611</v>
      </c>
      <c r="C367" s="1" t="s">
        <v>167</v>
      </c>
      <c r="D367" s="1">
        <v>0.12</v>
      </c>
    </row>
    <row r="368" spans="1:4" x14ac:dyDescent="0.25">
      <c r="A368" s="45"/>
      <c r="B368" s="1" t="s">
        <v>612</v>
      </c>
      <c r="C368" s="1" t="s">
        <v>357</v>
      </c>
      <c r="D368" s="1">
        <v>0.85</v>
      </c>
    </row>
    <row r="369" spans="1:4" x14ac:dyDescent="0.25">
      <c r="A369" s="45"/>
      <c r="B369" s="1" t="s">
        <v>273</v>
      </c>
      <c r="C369" s="1" t="s">
        <v>180</v>
      </c>
      <c r="D369" s="1">
        <v>1.61</v>
      </c>
    </row>
    <row r="370" spans="1:4" x14ac:dyDescent="0.25">
      <c r="A370" s="50"/>
      <c r="B370" s="50"/>
      <c r="C370" s="50"/>
      <c r="D370" s="7">
        <f>SUM(D363:D369)</f>
        <v>4.5780000000000003</v>
      </c>
    </row>
  </sheetData>
  <mergeCells count="95">
    <mergeCell ref="A370:C370"/>
    <mergeCell ref="A345:C345"/>
    <mergeCell ref="A347:A352"/>
    <mergeCell ref="A353:C353"/>
    <mergeCell ref="A355:A358"/>
    <mergeCell ref="A359:C359"/>
    <mergeCell ref="A362:A369"/>
    <mergeCell ref="A339:A344"/>
    <mergeCell ref="A283:D283"/>
    <mergeCell ref="A289:A294"/>
    <mergeCell ref="A295:C295"/>
    <mergeCell ref="A298:A305"/>
    <mergeCell ref="A306:C306"/>
    <mergeCell ref="A308:A313"/>
    <mergeCell ref="A314:C314"/>
    <mergeCell ref="A317:A322"/>
    <mergeCell ref="A323:C323"/>
    <mergeCell ref="A326:A332"/>
    <mergeCell ref="A333:C333"/>
    <mergeCell ref="E271:E282"/>
    <mergeCell ref="A282:C282"/>
    <mergeCell ref="A231:A235"/>
    <mergeCell ref="A236:C236"/>
    <mergeCell ref="A239:A243"/>
    <mergeCell ref="A244:C244"/>
    <mergeCell ref="A247:A251"/>
    <mergeCell ref="A252:C252"/>
    <mergeCell ref="A254:A260"/>
    <mergeCell ref="A261:C261"/>
    <mergeCell ref="A263:A268"/>
    <mergeCell ref="A269:C269"/>
    <mergeCell ref="A271:A281"/>
    <mergeCell ref="A229:C229"/>
    <mergeCell ref="A162:D162"/>
    <mergeCell ref="A164:A171"/>
    <mergeCell ref="A174:A181"/>
    <mergeCell ref="A189:A195"/>
    <mergeCell ref="A198:A204"/>
    <mergeCell ref="A205:C205"/>
    <mergeCell ref="A207:A213"/>
    <mergeCell ref="A214:C214"/>
    <mergeCell ref="A216:A220"/>
    <mergeCell ref="A221:C221"/>
    <mergeCell ref="A223:A228"/>
    <mergeCell ref="A136:C136"/>
    <mergeCell ref="D136:E136"/>
    <mergeCell ref="A139:A161"/>
    <mergeCell ref="B139:B153"/>
    <mergeCell ref="B154:D154"/>
    <mergeCell ref="B156:B160"/>
    <mergeCell ref="B161:D161"/>
    <mergeCell ref="A128:D128"/>
    <mergeCell ref="A130:A135"/>
    <mergeCell ref="D130:E130"/>
    <mergeCell ref="D131:E131"/>
    <mergeCell ref="D132:E132"/>
    <mergeCell ref="D133:E133"/>
    <mergeCell ref="D134:E134"/>
    <mergeCell ref="D135:E135"/>
    <mergeCell ref="A108:C108"/>
    <mergeCell ref="A109:D109"/>
    <mergeCell ref="A111:A127"/>
    <mergeCell ref="B111:B121"/>
    <mergeCell ref="B122:D122"/>
    <mergeCell ref="B124:B126"/>
    <mergeCell ref="B127:D127"/>
    <mergeCell ref="A83:D83"/>
    <mergeCell ref="A84:D84"/>
    <mergeCell ref="A89:A107"/>
    <mergeCell ref="B89:B92"/>
    <mergeCell ref="B93:D93"/>
    <mergeCell ref="B95:B102"/>
    <mergeCell ref="B103:D103"/>
    <mergeCell ref="B104:B107"/>
    <mergeCell ref="A70:D71"/>
    <mergeCell ref="E70:F71"/>
    <mergeCell ref="A73:A82"/>
    <mergeCell ref="B73:B77"/>
    <mergeCell ref="B78:D78"/>
    <mergeCell ref="B79:B82"/>
    <mergeCell ref="B38:B62"/>
    <mergeCell ref="C38:C62"/>
    <mergeCell ref="B1:F1"/>
    <mergeCell ref="A2:A69"/>
    <mergeCell ref="B2:B35"/>
    <mergeCell ref="C2:C8"/>
    <mergeCell ref="C9:E9"/>
    <mergeCell ref="C10:C27"/>
    <mergeCell ref="B63:E63"/>
    <mergeCell ref="B64:B69"/>
    <mergeCell ref="C64:C68"/>
    <mergeCell ref="C69:E69"/>
    <mergeCell ref="C28:E28"/>
    <mergeCell ref="C29:C35"/>
    <mergeCell ref="B36:E36"/>
  </mergeCells>
  <pageMargins left="0.7" right="0.7" top="0.75" bottom="0.75" header="0.3" footer="0.3"/>
  <pageSetup paperSize="9" scale="70" orientation="portrait" horizontalDpi="360" verticalDpi="360" r:id="rId1"/>
  <rowBreaks count="5" manualBreakCount="5">
    <brk id="71" max="16383" man="1"/>
    <brk id="137" max="16383" man="1"/>
    <brk id="186" max="16383" man="1"/>
    <brk id="253" max="16383" man="1"/>
    <brk id="324"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fiche tech cuisine</vt:lpstr>
      <vt:lpstr>fiche tech pattisseri</vt:lpstr>
      <vt:lpstr>fich tech pizza</vt:lpstr>
      <vt:lpstr>fiche tech chica</vt:lpstr>
      <vt:lpstr>fich tech bar</vt:lpstr>
      <vt:lpstr>fiche tech petit dej</vt:lpstr>
      <vt:lpstr>fiche tech petit dej corrigée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kermen naccache</cp:lastModifiedBy>
  <cp:lastPrinted>2026-07-27T20:36:05Z</cp:lastPrinted>
  <dcterms:created xsi:type="dcterms:W3CDTF">2025-12-13T18:50:19Z</dcterms:created>
  <dcterms:modified xsi:type="dcterms:W3CDTF">2026-08-14T11:11:21Z</dcterms:modified>
</cp:coreProperties>
</file>