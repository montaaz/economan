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2S\Desktop\KERMEN\FICHE TECHNIQUE ET COUTS\"/>
    </mc:Choice>
  </mc:AlternateContent>
  <xr:revisionPtr revIDLastSave="0" documentId="8_{26ED1491-9E56-451F-81AC-55C48A44B99C}" xr6:coauthVersionLast="47" xr6:coauthVersionMax="47" xr10:uidLastSave="{00000000-0000-0000-0000-000000000000}"/>
  <bookViews>
    <workbookView xWindow="-120" yWindow="-120" windowWidth="29040" windowHeight="15720" xr2:uid="{1369BD82-7A75-457B-80DB-EC803C092F76}"/>
  </bookViews>
  <sheets>
    <sheet name="fiche tchnique cuisin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87" i="1" l="1"/>
  <c r="D672" i="1"/>
  <c r="D632" i="1"/>
  <c r="D616" i="1"/>
  <c r="D598" i="1"/>
  <c r="D586" i="1"/>
  <c r="D574" i="1"/>
  <c r="D562" i="1"/>
  <c r="D547" i="1"/>
  <c r="D531" i="1"/>
  <c r="D515" i="1"/>
  <c r="D498" i="1"/>
  <c r="D481" i="1"/>
  <c r="D465" i="1"/>
  <c r="D439" i="1"/>
  <c r="D421" i="1"/>
  <c r="D382" i="1"/>
  <c r="D366" i="1"/>
  <c r="D338" i="1"/>
  <c r="D325" i="1"/>
  <c r="D313" i="1"/>
  <c r="D290" i="1"/>
  <c r="D275" i="1"/>
  <c r="D260" i="1"/>
  <c r="D246" i="1"/>
  <c r="D235" i="1"/>
  <c r="D226" i="1"/>
  <c r="D211" i="1"/>
  <c r="D195" i="1"/>
  <c r="D177" i="1"/>
  <c r="D160" i="1"/>
  <c r="D147" i="1"/>
  <c r="D135" i="1"/>
  <c r="D124" i="1"/>
  <c r="D112" i="1"/>
  <c r="D98" i="1"/>
  <c r="D87" i="1"/>
  <c r="D77" i="1"/>
  <c r="D67" i="1"/>
  <c r="D56" i="1"/>
  <c r="D42" i="1"/>
  <c r="D35" i="1"/>
  <c r="D21" i="1"/>
  <c r="D11" i="1"/>
</calcChain>
</file>

<file path=xl/sharedStrings.xml><?xml version="1.0" encoding="utf-8"?>
<sst xmlns="http://schemas.openxmlformats.org/spreadsheetml/2006/main" count="1210" uniqueCount="260">
  <si>
    <t xml:space="preserve">fiche technique de la cuisine de chef </t>
  </si>
  <si>
    <t>ingr</t>
  </si>
  <si>
    <t>gramage</t>
  </si>
  <si>
    <t>cout</t>
  </si>
  <si>
    <t>p vente</t>
  </si>
  <si>
    <t>coficien</t>
  </si>
  <si>
    <t>salade césar</t>
  </si>
  <si>
    <t>laitu</t>
  </si>
  <si>
    <t>25,000Dt</t>
  </si>
  <si>
    <t>tomate sérise</t>
  </si>
  <si>
    <t>100g</t>
  </si>
  <si>
    <t>parmésan</t>
  </si>
  <si>
    <t>30g</t>
  </si>
  <si>
    <t>noix</t>
  </si>
  <si>
    <t>20g</t>
  </si>
  <si>
    <t>sauce césar</t>
  </si>
  <si>
    <t>50g</t>
  </si>
  <si>
    <t>poulet</t>
  </si>
  <si>
    <t>150g</t>
  </si>
  <si>
    <t xml:space="preserve">crocon </t>
  </si>
  <si>
    <t>total</t>
  </si>
  <si>
    <t>salade buratta</t>
  </si>
  <si>
    <t>roquette</t>
  </si>
  <si>
    <t>37,500dt</t>
  </si>
  <si>
    <t>mozarella serise</t>
  </si>
  <si>
    <t>buratte</t>
  </si>
  <si>
    <t>1p</t>
  </si>
  <si>
    <t>creme balsamique</t>
  </si>
  <si>
    <t>salade tropical</t>
  </si>
  <si>
    <t>laitue</t>
  </si>
  <si>
    <t>45,500dt</t>
  </si>
  <si>
    <t>chevrette</t>
  </si>
  <si>
    <t>200g</t>
  </si>
  <si>
    <t>abrico seche</t>
  </si>
  <si>
    <t>brune seche</t>
  </si>
  <si>
    <t>15g</t>
  </si>
  <si>
    <t>miel</t>
  </si>
  <si>
    <t>raisin sec noir</t>
  </si>
  <si>
    <t>raisin sec rouge</t>
  </si>
  <si>
    <t>pistache  concassé</t>
  </si>
  <si>
    <t>5g</t>
  </si>
  <si>
    <t>amande effilet</t>
  </si>
  <si>
    <t>permaison</t>
  </si>
  <si>
    <t>BRIKI AUX THON</t>
  </si>
  <si>
    <t>Fromage</t>
  </si>
  <si>
    <t>8,500dt</t>
  </si>
  <si>
    <t>brik</t>
  </si>
  <si>
    <t>œuf</t>
  </si>
  <si>
    <t>thon</t>
  </si>
  <si>
    <t>BRIK AUX CHEVRETTE</t>
  </si>
  <si>
    <t>fromage</t>
  </si>
  <si>
    <t>10,000dT</t>
  </si>
  <si>
    <t>40g</t>
  </si>
  <si>
    <t>OJJA CHEVRETTE</t>
  </si>
  <si>
    <t>CHEVRETTE</t>
  </si>
  <si>
    <t>33,000dt</t>
  </si>
  <si>
    <t>POIVRE VERT</t>
  </si>
  <si>
    <t>2p</t>
  </si>
  <si>
    <t>TOMATE</t>
  </si>
  <si>
    <t>AIL</t>
  </si>
  <si>
    <t>4 EPICE</t>
  </si>
  <si>
    <t>SEL ET PIVRE</t>
  </si>
  <si>
    <t>PAPRICA</t>
  </si>
  <si>
    <t>ŒUF</t>
  </si>
  <si>
    <t>CARPACCIO POULPE</t>
  </si>
  <si>
    <t>POULPE</t>
  </si>
  <si>
    <t>250g</t>
  </si>
  <si>
    <t>39,000dt</t>
  </si>
  <si>
    <t>PARMESON</t>
  </si>
  <si>
    <t>TOMATE CERISE</t>
  </si>
  <si>
    <t>NOIX</t>
  </si>
  <si>
    <t>ROQUETTE</t>
  </si>
  <si>
    <t>HUIL D'OLIVE</t>
  </si>
  <si>
    <t>SELE ET POIVRE</t>
  </si>
  <si>
    <t>CARPACCIO POULET FUME</t>
  </si>
  <si>
    <t>POULET FUME</t>
  </si>
  <si>
    <t>28,000dt</t>
  </si>
  <si>
    <t>OJJA MERGUEZ</t>
  </si>
  <si>
    <t>grammage</t>
  </si>
  <si>
    <t>MERGUEUZ</t>
  </si>
  <si>
    <t>salade fruit fe mer</t>
  </si>
  <si>
    <t>60g</t>
  </si>
  <si>
    <t>37,000dt</t>
  </si>
  <si>
    <t>seche</t>
  </si>
  <si>
    <t>70g</t>
  </si>
  <si>
    <t>poulpe</t>
  </si>
  <si>
    <t>moul</t>
  </si>
  <si>
    <t>tomate cerise</t>
  </si>
  <si>
    <t>avocato</t>
  </si>
  <si>
    <t>0,5p</t>
  </si>
  <si>
    <t>persil</t>
  </si>
  <si>
    <t>oignon</t>
  </si>
  <si>
    <t>huil d'olive</t>
  </si>
  <si>
    <t>30ml</t>
  </si>
  <si>
    <t>sel et poivre</t>
  </si>
  <si>
    <t>GRATIN FRUIT FE MER</t>
  </si>
  <si>
    <t>34,000dt</t>
  </si>
  <si>
    <t>SECHE</t>
  </si>
  <si>
    <t>MOUL</t>
  </si>
  <si>
    <t>CREME LIQUIDE</t>
  </si>
  <si>
    <t>30cl</t>
  </si>
  <si>
    <t>PERMAISON</t>
  </si>
  <si>
    <t>MOZARELLA</t>
  </si>
  <si>
    <t>SEL ET POIVRE</t>
  </si>
  <si>
    <t>BASILIQUE</t>
  </si>
  <si>
    <t>EMINCE DE POULET AU Façon DU CHEF</t>
  </si>
  <si>
    <t>ESCALOPE</t>
  </si>
  <si>
    <t>220g</t>
  </si>
  <si>
    <t>27,000dt</t>
  </si>
  <si>
    <t>OIGNON</t>
  </si>
  <si>
    <t>PERSIL</t>
  </si>
  <si>
    <t>KORKOM</t>
  </si>
  <si>
    <t>EKLIL ET ZAATER</t>
  </si>
  <si>
    <t>SPAGHETTE BOLONAISE</t>
  </si>
  <si>
    <t>VIANDE HACHE</t>
  </si>
  <si>
    <t>180g</t>
  </si>
  <si>
    <t>32,000dt</t>
  </si>
  <si>
    <t>SPAGHETTI</t>
  </si>
  <si>
    <t>PARMAISON</t>
  </si>
  <si>
    <t>TOMATE CONCENTRE</t>
  </si>
  <si>
    <t>PAPRIKA</t>
  </si>
  <si>
    <t>TAGLIATELLI ALFREDO</t>
  </si>
  <si>
    <t>TAGLIATELLI</t>
  </si>
  <si>
    <t>6p</t>
  </si>
  <si>
    <t>28500dt</t>
  </si>
  <si>
    <t>POULET</t>
  </si>
  <si>
    <t>60cl</t>
  </si>
  <si>
    <t>FROMAGE RAPE</t>
  </si>
  <si>
    <t>CHAMPIGNON</t>
  </si>
  <si>
    <t>SPAGHETTI FRUIT DE MER A LITALIENNE</t>
  </si>
  <si>
    <t>CREVETTE</t>
  </si>
  <si>
    <t>50000dt</t>
  </si>
  <si>
    <t>120g</t>
  </si>
  <si>
    <t>MOULE</t>
  </si>
  <si>
    <t>CLEVICE</t>
  </si>
  <si>
    <t>CRAPE</t>
  </si>
  <si>
    <t>1/2p</t>
  </si>
  <si>
    <t>10ml</t>
  </si>
  <si>
    <t>SPAGHETTI FRUIT DE MER SAUCE ROUGE</t>
  </si>
  <si>
    <t>48,000dt</t>
  </si>
  <si>
    <t>POIVRON SECHE</t>
  </si>
  <si>
    <t>TAGLIATELLI POULET PANNE SAUSE PISTO</t>
  </si>
  <si>
    <t>31,000dt</t>
  </si>
  <si>
    <t>80cl</t>
  </si>
  <si>
    <t>10g</t>
  </si>
  <si>
    <t>20cl</t>
  </si>
  <si>
    <t>PIGNON</t>
  </si>
  <si>
    <t>PENNEE SAUMON SAUCE RAUSE</t>
  </si>
  <si>
    <t>PENNEE</t>
  </si>
  <si>
    <t>36,000dt</t>
  </si>
  <si>
    <t>SAUMON</t>
  </si>
  <si>
    <t>40cl</t>
  </si>
  <si>
    <t>CHOMPIGNON</t>
  </si>
  <si>
    <t>RAVIOLLI RIGOUTA EPINARD</t>
  </si>
  <si>
    <t>RAVIOLLI EPINARD</t>
  </si>
  <si>
    <t>13p</t>
  </si>
  <si>
    <t>21,000dt</t>
  </si>
  <si>
    <t>PERMISON</t>
  </si>
  <si>
    <t>RAVIOLLI  BOLONAISE</t>
  </si>
  <si>
    <t>RAVIOLLI BOLONAISE</t>
  </si>
  <si>
    <t>23,000dt</t>
  </si>
  <si>
    <t>RAVIOLLI SAUMON SAUCE RAUSE</t>
  </si>
  <si>
    <t>RAVIOLLI SAUMON</t>
  </si>
  <si>
    <t>RISOTTO POULET SAUCE ROSE</t>
  </si>
  <si>
    <t>150G</t>
  </si>
  <si>
    <t>34,500dt</t>
  </si>
  <si>
    <t>RISOTTO</t>
  </si>
  <si>
    <t>TOMATE CONCNTRE</t>
  </si>
  <si>
    <t>TOTAL</t>
  </si>
  <si>
    <t>RISOTTO FRUIT DE MER SAUCE BLANCHE</t>
  </si>
  <si>
    <t>48500dt</t>
  </si>
  <si>
    <t>MOULLE</t>
  </si>
  <si>
    <t>RISOTTO CHEVRETTE SAUCE PISTO AU BOUTARG</t>
  </si>
  <si>
    <t>44500dt</t>
  </si>
  <si>
    <t>BOUTARG</t>
  </si>
  <si>
    <t>RISOTTO CHEVRETTE ET SECH A LANCRE DE SECHE</t>
  </si>
  <si>
    <t>LANCRE DE SECHE</t>
  </si>
  <si>
    <t xml:space="preserve">FROMAGE RAPE </t>
  </si>
  <si>
    <t>ESCALOPE GRILLEE</t>
  </si>
  <si>
    <t>27500dt</t>
  </si>
  <si>
    <t>RIZ</t>
  </si>
  <si>
    <t>FRITTE</t>
  </si>
  <si>
    <t>TASTIRA</t>
  </si>
  <si>
    <t>MAYONNAISE</t>
  </si>
  <si>
    <t>CORNICHON</t>
  </si>
  <si>
    <t>CAPRES</t>
  </si>
  <si>
    <t>LEGUME SAUTE</t>
  </si>
  <si>
    <t>ESCALOPE A LA CREME</t>
  </si>
  <si>
    <t>29500dt</t>
  </si>
  <si>
    <t>FILET DE POULET CRAUNCHY</t>
  </si>
  <si>
    <t>FARINE</t>
  </si>
  <si>
    <t>SUPREME DE POULET FARCI</t>
  </si>
  <si>
    <t>37500dt</t>
  </si>
  <si>
    <t>CHAOMPIGNON</t>
  </si>
  <si>
    <t>PISTACHE</t>
  </si>
  <si>
    <t>CORDON BLEU</t>
  </si>
  <si>
    <t>34500dt</t>
  </si>
  <si>
    <t>JAMBON</t>
  </si>
  <si>
    <t>EMINCI DE BŒUF STROGANOF</t>
  </si>
  <si>
    <t>FILET DE BŒUF</t>
  </si>
  <si>
    <t>47000dt</t>
  </si>
  <si>
    <t>CAROTTE</t>
  </si>
  <si>
    <t>BEURRE</t>
  </si>
  <si>
    <t>AMIDON</t>
  </si>
  <si>
    <t>TORNADO AU CROUTE PARMAISON</t>
  </si>
  <si>
    <t>280g</t>
  </si>
  <si>
    <t>63500dt</t>
  </si>
  <si>
    <t>50G</t>
  </si>
  <si>
    <t>1P</t>
  </si>
  <si>
    <t>ESCALOPE DE BŒUF PANNEE SAUCE PARMAISON</t>
  </si>
  <si>
    <t>60000dt</t>
  </si>
  <si>
    <t>CHAPLURE</t>
  </si>
  <si>
    <t>FILET WILINGTON</t>
  </si>
  <si>
    <t>65500dt</t>
  </si>
  <si>
    <t>PATE FOUETTER</t>
  </si>
  <si>
    <t>FILET DE BŒUF SAUCE CHOIX</t>
  </si>
  <si>
    <t>59500dt</t>
  </si>
  <si>
    <t>R0C FORT</t>
  </si>
  <si>
    <t>SOURI D'AGNEAU A LANGLAISE</t>
  </si>
  <si>
    <t>SOURI D'AGNEAU</t>
  </si>
  <si>
    <t>400g</t>
  </si>
  <si>
    <t>4 EPICES</t>
  </si>
  <si>
    <t>LEGUME SAUTTE</t>
  </si>
  <si>
    <t>fell souri d'agneau</t>
  </si>
  <si>
    <t xml:space="preserve">SOURI D'AGNEAU </t>
  </si>
  <si>
    <t>FELL</t>
  </si>
  <si>
    <t>POIVRON VERT</t>
  </si>
  <si>
    <t>40g/1p</t>
  </si>
  <si>
    <t>DAURADE GRILLEE</t>
  </si>
  <si>
    <t xml:space="preserve">DAURADE </t>
  </si>
  <si>
    <t>350g</t>
  </si>
  <si>
    <t>LOUP GRILLEE</t>
  </si>
  <si>
    <t>LOUP</t>
  </si>
  <si>
    <t xml:space="preserve">CREVETTE GRILLEE </t>
  </si>
  <si>
    <t>300g/6p</t>
  </si>
  <si>
    <t>LOUP FARCI AU Façon du chef</t>
  </si>
  <si>
    <t>FILET DE LOUP</t>
  </si>
  <si>
    <t>20G</t>
  </si>
  <si>
    <t>50g/1p</t>
  </si>
  <si>
    <t xml:space="preserve">50g </t>
  </si>
  <si>
    <t>50cl</t>
  </si>
  <si>
    <t>CREVETTE A LA CREME</t>
  </si>
  <si>
    <t>CARNAVAL DE BEY</t>
  </si>
  <si>
    <t>230g/6p</t>
  </si>
  <si>
    <t>174,000dt</t>
  </si>
  <si>
    <t>110g/4p</t>
  </si>
  <si>
    <t>SECH</t>
  </si>
  <si>
    <t>POULP</t>
  </si>
  <si>
    <t>POISSON</t>
  </si>
  <si>
    <t>350g/1p</t>
  </si>
  <si>
    <t>ŒUF DE SECH</t>
  </si>
  <si>
    <t>CALAMAR DORE</t>
  </si>
  <si>
    <t>80g/4p</t>
  </si>
  <si>
    <t>PINCE DE CRAPE</t>
  </si>
  <si>
    <t>130g/4p</t>
  </si>
  <si>
    <t>SAUTTE FRUIT DE MER</t>
  </si>
  <si>
    <t>100g/2p</t>
  </si>
  <si>
    <t>55,500dt</t>
  </si>
  <si>
    <t xml:space="preserve">MOUL </t>
  </si>
  <si>
    <t>FRIT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</si>
</sst>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1" xfId="0" applyBorder="1"/>
    <xf numFmtId="12" fontId="0" fillId="0" borderId="1" xfId="0" applyNumberFormat="1" applyBorder="1" applyAlignment="1">
      <alignment horizontal="left"/>
    </xf>
    <xf numFmtId="0" fontId="0" fillId="3" borderId="1" xfId="0" applyFill="1" applyBorder="1"/>
    <xf numFmtId="0" fontId="0" fillId="4" borderId="0" xfId="0" applyFill="1"/>
    <xf numFmtId="0" fontId="0" fillId="0" borderId="5" xfId="0" applyBorder="1"/>
    <xf numFmtId="0" fontId="0" fillId="0" borderId="1" xfId="0" applyBorder="1" applyAlignment="1">
      <alignment horizontal="left"/>
    </xf>
    <xf numFmtId="0" fontId="6" fillId="4" borderId="0" xfId="0" applyFont="1" applyFill="1" applyAlignment="1">
      <alignment vertical="center" textRotation="44"/>
    </xf>
    <xf numFmtId="12" fontId="0" fillId="4" borderId="0" xfId="0" applyNumberFormat="1" applyFill="1" applyAlignment="1">
      <alignment horizontal="left"/>
    </xf>
    <xf numFmtId="0" fontId="7" fillId="4" borderId="0" xfId="0" applyFont="1" applyFill="1" applyAlignment="1">
      <alignment vertical="center" textRotation="180"/>
    </xf>
    <xf numFmtId="0" fontId="0" fillId="4" borderId="0" xfId="0" applyFill="1" applyAlignment="1">
      <alignment horizontal="left"/>
    </xf>
    <xf numFmtId="0" fontId="0" fillId="0" borderId="2" xfId="0" applyBorder="1"/>
    <xf numFmtId="0" fontId="0" fillId="0" borderId="3" xfId="0" applyBorder="1"/>
    <xf numFmtId="0" fontId="0" fillId="3" borderId="5" xfId="0" applyFill="1" applyBorder="1"/>
    <xf numFmtId="0" fontId="7" fillId="0" borderId="0" xfId="0" applyFont="1" applyAlignment="1">
      <alignment vertical="center" textRotation="180"/>
    </xf>
    <xf numFmtId="0" fontId="0" fillId="0" borderId="6" xfId="0" applyBorder="1"/>
    <xf numFmtId="0" fontId="0" fillId="0" borderId="2" xfId="0" applyBorder="1" applyAlignment="1">
      <alignment horizontal="left"/>
    </xf>
    <xf numFmtId="0" fontId="3" fillId="0" borderId="2" xfId="0" applyFont="1" applyBorder="1" applyAlignment="1">
      <alignment horizontal="center" vertical="center" textRotation="60"/>
    </xf>
    <xf numFmtId="0" fontId="3" fillId="0" borderId="3" xfId="0" applyFont="1" applyBorder="1" applyAlignment="1">
      <alignment horizontal="center" vertical="center" textRotation="60"/>
    </xf>
    <xf numFmtId="0" fontId="3" fillId="0" borderId="4" xfId="0" applyFont="1" applyBorder="1" applyAlignment="1">
      <alignment horizontal="center" vertical="center" textRotation="60"/>
    </xf>
    <xf numFmtId="0" fontId="4" fillId="0" borderId="2" xfId="0" applyFont="1" applyBorder="1" applyAlignment="1">
      <alignment horizontal="center" vertical="center" textRotation="180"/>
    </xf>
    <xf numFmtId="0" fontId="4" fillId="0" borderId="3" xfId="0" applyFont="1" applyBorder="1" applyAlignment="1">
      <alignment horizontal="center" vertical="center" textRotation="180"/>
    </xf>
    <xf numFmtId="0" fontId="4" fillId="0" borderId="4" xfId="0" applyFont="1" applyBorder="1" applyAlignment="1">
      <alignment horizontal="center" vertical="center" textRotation="180"/>
    </xf>
    <xf numFmtId="0" fontId="0" fillId="3" borderId="1" xfId="0" applyFill="1" applyBorder="1" applyAlignment="1">
      <alignment horizontal="center"/>
    </xf>
    <xf numFmtId="0" fontId="6" fillId="0" borderId="1" xfId="0" applyFont="1" applyBorder="1" applyAlignment="1">
      <alignment horizontal="center" vertical="center" textRotation="44"/>
    </xf>
    <xf numFmtId="0" fontId="7" fillId="0" borderId="6" xfId="0" applyFont="1" applyBorder="1" applyAlignment="1">
      <alignment horizontal="center" vertical="center" textRotation="180"/>
    </xf>
    <xf numFmtId="0" fontId="7" fillId="0" borderId="7" xfId="0" applyFont="1" applyBorder="1" applyAlignment="1">
      <alignment horizontal="center" vertical="center" textRotation="180"/>
    </xf>
    <xf numFmtId="0" fontId="7" fillId="0" borderId="8" xfId="0" applyFont="1" applyBorder="1" applyAlignment="1">
      <alignment horizontal="center" vertical="center" textRotation="180"/>
    </xf>
    <xf numFmtId="0" fontId="7" fillId="0" borderId="1" xfId="0" applyFont="1" applyBorder="1" applyAlignment="1">
      <alignment horizontal="center" vertical="center" textRotation="180"/>
    </xf>
    <xf numFmtId="0" fontId="2" fillId="2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center" textRotation="180"/>
    </xf>
    <xf numFmtId="0" fontId="5" fillId="0" borderId="1" xfId="0" applyFont="1" applyBorder="1" applyAlignment="1">
      <alignment horizontal="center" vertical="center" textRotation="180"/>
    </xf>
    <xf numFmtId="0" fontId="1" fillId="0" borderId="1" xfId="0" applyFont="1" applyBorder="1" applyAlignment="1">
      <alignment horizontal="center" vertical="center" textRotation="45"/>
    </xf>
    <xf numFmtId="0" fontId="6" fillId="0" borderId="1" xfId="0" applyFont="1" applyBorder="1" applyAlignment="1">
      <alignment horizontal="center" vertical="center" textRotation="45"/>
    </xf>
    <xf numFmtId="0" fontId="0" fillId="3" borderId="5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8" fillId="0" borderId="1" xfId="0" applyFont="1" applyBorder="1" applyAlignment="1">
      <alignment horizontal="center" vertical="center" textRotation="61"/>
    </xf>
    <xf numFmtId="0" fontId="7" fillId="0" borderId="2" xfId="0" applyFont="1" applyBorder="1" applyAlignment="1">
      <alignment horizontal="center" vertical="center" textRotation="180"/>
    </xf>
    <xf numFmtId="0" fontId="7" fillId="0" borderId="3" xfId="0" applyFont="1" applyBorder="1" applyAlignment="1">
      <alignment horizontal="center" vertical="center" textRotation="180"/>
    </xf>
    <xf numFmtId="0" fontId="7" fillId="0" borderId="4" xfId="0" applyFont="1" applyBorder="1" applyAlignment="1">
      <alignment horizontal="center" vertical="center" textRotation="180"/>
    </xf>
    <xf numFmtId="0" fontId="1" fillId="0" borderId="2" xfId="0" applyFont="1" applyBorder="1" applyAlignment="1">
      <alignment horizontal="center" vertical="center" textRotation="75"/>
    </xf>
    <xf numFmtId="0" fontId="1" fillId="0" borderId="3" xfId="0" applyFont="1" applyBorder="1" applyAlignment="1">
      <alignment horizontal="center" vertical="center" textRotation="75"/>
    </xf>
    <xf numFmtId="0" fontId="10" fillId="0" borderId="2" xfId="0" applyFont="1" applyBorder="1" applyAlignment="1">
      <alignment horizontal="center" vertical="center" textRotation="75"/>
    </xf>
    <xf numFmtId="0" fontId="10" fillId="0" borderId="3" xfId="0" applyFont="1" applyBorder="1" applyAlignment="1">
      <alignment horizontal="center" vertical="center" textRotation="75"/>
    </xf>
    <xf numFmtId="0" fontId="10" fillId="0" borderId="4" xfId="0" applyFont="1" applyBorder="1" applyAlignment="1">
      <alignment horizontal="center" vertical="center" textRotation="75"/>
    </xf>
    <xf numFmtId="0" fontId="9" fillId="0" borderId="2" xfId="0" applyFont="1" applyBorder="1" applyAlignment="1">
      <alignment horizontal="center" vertical="center" textRotation="60"/>
    </xf>
    <xf numFmtId="0" fontId="9" fillId="0" borderId="3" xfId="0" applyFont="1" applyBorder="1" applyAlignment="1">
      <alignment horizontal="center" vertical="center" textRotation="60"/>
    </xf>
    <xf numFmtId="0" fontId="6" fillId="0" borderId="2" xfId="0" applyFont="1" applyBorder="1" applyAlignment="1">
      <alignment horizontal="center" vertical="center" textRotation="45"/>
    </xf>
    <xf numFmtId="0" fontId="6" fillId="0" borderId="3" xfId="0" applyFont="1" applyBorder="1" applyAlignment="1">
      <alignment horizontal="center" vertical="center" textRotation="45"/>
    </xf>
    <xf numFmtId="0" fontId="6" fillId="0" borderId="4" xfId="0" applyFont="1" applyBorder="1" applyAlignment="1">
      <alignment horizontal="center" vertical="center" textRotation="45"/>
    </xf>
    <xf numFmtId="0" fontId="8" fillId="0" borderId="1" xfId="0" applyFont="1" applyBorder="1" applyAlignment="1">
      <alignment horizontal="center" vertical="center" textRotation="60"/>
    </xf>
    <xf numFmtId="0" fontId="6" fillId="0" borderId="2" xfId="0" applyFont="1" applyBorder="1" applyAlignment="1">
      <alignment horizontal="center" vertical="center" textRotation="60"/>
    </xf>
    <xf numFmtId="0" fontId="6" fillId="0" borderId="3" xfId="0" applyFont="1" applyBorder="1" applyAlignment="1">
      <alignment horizontal="center" vertical="center" textRotation="60"/>
    </xf>
    <xf numFmtId="0" fontId="6" fillId="0" borderId="4" xfId="0" applyFont="1" applyBorder="1" applyAlignment="1">
      <alignment horizontal="center" vertical="center" textRotation="60"/>
    </xf>
    <xf numFmtId="0" fontId="12" fillId="0" borderId="2" xfId="0" applyFont="1" applyBorder="1" applyAlignment="1">
      <alignment horizontal="center" vertical="center" textRotation="60"/>
    </xf>
    <xf numFmtId="0" fontId="12" fillId="0" borderId="3" xfId="0" applyFont="1" applyBorder="1" applyAlignment="1">
      <alignment horizontal="center" vertical="center" textRotation="60"/>
    </xf>
    <xf numFmtId="0" fontId="12" fillId="0" borderId="4" xfId="0" applyFont="1" applyBorder="1" applyAlignment="1">
      <alignment horizontal="center" vertical="center" textRotation="60"/>
    </xf>
    <xf numFmtId="0" fontId="11" fillId="0" borderId="2" xfId="0" applyFont="1" applyBorder="1" applyAlignment="1">
      <alignment horizontal="center" vertical="center" textRotation="60"/>
    </xf>
    <xf numFmtId="0" fontId="11" fillId="0" borderId="3" xfId="0" applyFont="1" applyBorder="1" applyAlignment="1">
      <alignment horizontal="center" vertical="center" textRotation="60"/>
    </xf>
    <xf numFmtId="0" fontId="11" fillId="0" borderId="4" xfId="0" applyFont="1" applyBorder="1" applyAlignment="1">
      <alignment horizontal="center" vertical="center" textRotation="60"/>
    </xf>
    <xf numFmtId="0" fontId="13" fillId="0" borderId="2" xfId="0" applyFont="1" applyBorder="1" applyAlignment="1">
      <alignment horizontal="center" vertical="center" textRotation="60"/>
    </xf>
    <xf numFmtId="0" fontId="13" fillId="0" borderId="3" xfId="0" applyFont="1" applyBorder="1" applyAlignment="1">
      <alignment horizontal="center" vertical="center" textRotation="60"/>
    </xf>
    <xf numFmtId="0" fontId="3" fillId="0" borderId="1" xfId="0" applyFont="1" applyBorder="1" applyAlignment="1">
      <alignment horizontal="center" vertical="center" textRotation="60"/>
    </xf>
    <xf numFmtId="0" fontId="7" fillId="0" borderId="5" xfId="0" applyFont="1" applyBorder="1" applyAlignment="1">
      <alignment horizontal="center" vertical="center" textRotation="180"/>
    </xf>
    <xf numFmtId="0" fontId="0" fillId="0" borderId="2" xfId="0" applyBorder="1" applyAlignment="1">
      <alignment horizontal="center" vertical="center" textRotation="6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B0842-1BF8-4ACC-A139-83102F89AC47}">
  <dimension ref="A2:F687"/>
  <sheetViews>
    <sheetView tabSelected="1" workbookViewId="0">
      <selection activeCell="J29" sqref="J29"/>
    </sheetView>
  </sheetViews>
  <sheetFormatPr baseColWidth="10" defaultRowHeight="15" x14ac:dyDescent="0.25"/>
  <cols>
    <col min="1" max="1" width="25" customWidth="1"/>
    <col min="2" max="2" width="24.140625" customWidth="1"/>
    <col min="3" max="3" width="15.140625" customWidth="1"/>
  </cols>
  <sheetData>
    <row r="2" spans="1:6" x14ac:dyDescent="0.25">
      <c r="A2" s="29" t="s">
        <v>0</v>
      </c>
      <c r="B2" s="29"/>
      <c r="C2" s="29"/>
      <c r="D2" s="29"/>
      <c r="E2" s="29"/>
      <c r="F2" s="29"/>
    </row>
    <row r="3" spans="1:6" x14ac:dyDescent="0.25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x14ac:dyDescent="0.25">
      <c r="A4" s="17" t="s">
        <v>6</v>
      </c>
      <c r="B4" s="1" t="s">
        <v>7</v>
      </c>
      <c r="C4" s="2">
        <v>0.75</v>
      </c>
      <c r="D4" s="1">
        <v>1.33</v>
      </c>
      <c r="E4" s="30" t="s">
        <v>8</v>
      </c>
      <c r="F4" s="30">
        <v>2.9</v>
      </c>
    </row>
    <row r="5" spans="1:6" x14ac:dyDescent="0.25">
      <c r="A5" s="18"/>
      <c r="B5" s="1" t="s">
        <v>9</v>
      </c>
      <c r="C5" s="1" t="s">
        <v>10</v>
      </c>
      <c r="D5" s="1">
        <v>1</v>
      </c>
      <c r="E5" s="30"/>
      <c r="F5" s="30"/>
    </row>
    <row r="6" spans="1:6" x14ac:dyDescent="0.25">
      <c r="A6" s="18"/>
      <c r="B6" s="1" t="s">
        <v>11</v>
      </c>
      <c r="C6" s="1" t="s">
        <v>12</v>
      </c>
      <c r="D6" s="1">
        <v>2.5499999999999998</v>
      </c>
      <c r="E6" s="30"/>
      <c r="F6" s="30"/>
    </row>
    <row r="7" spans="1:6" x14ac:dyDescent="0.25">
      <c r="A7" s="18"/>
      <c r="B7" s="1" t="s">
        <v>13</v>
      </c>
      <c r="C7" s="1" t="s">
        <v>14</v>
      </c>
      <c r="D7" s="1">
        <v>0.6</v>
      </c>
      <c r="E7" s="30"/>
      <c r="F7" s="30"/>
    </row>
    <row r="8" spans="1:6" x14ac:dyDescent="0.25">
      <c r="A8" s="18"/>
      <c r="B8" s="1" t="s">
        <v>15</v>
      </c>
      <c r="C8" s="1" t="s">
        <v>16</v>
      </c>
      <c r="D8" s="1">
        <v>0.7</v>
      </c>
      <c r="E8" s="30"/>
      <c r="F8" s="30"/>
    </row>
    <row r="9" spans="1:6" x14ac:dyDescent="0.25">
      <c r="A9" s="18"/>
      <c r="B9" s="1" t="s">
        <v>17</v>
      </c>
      <c r="C9" s="1" t="s">
        <v>18</v>
      </c>
      <c r="D9" s="1">
        <v>2.7</v>
      </c>
      <c r="E9" s="30"/>
      <c r="F9" s="30"/>
    </row>
    <row r="10" spans="1:6" x14ac:dyDescent="0.25">
      <c r="A10" s="18"/>
      <c r="B10" s="1" t="s">
        <v>19</v>
      </c>
      <c r="C10" s="1" t="s">
        <v>14</v>
      </c>
      <c r="D10" s="1">
        <v>0.25</v>
      </c>
      <c r="E10" s="30"/>
      <c r="F10" s="30"/>
    </row>
    <row r="11" spans="1:6" x14ac:dyDescent="0.25">
      <c r="A11" s="23" t="s">
        <v>20</v>
      </c>
      <c r="B11" s="23"/>
      <c r="C11" s="23"/>
      <c r="D11" s="3">
        <f>SUM(D4:D10)</f>
        <v>9.129999999999999</v>
      </c>
      <c r="E11" s="30"/>
      <c r="F11" s="30"/>
    </row>
    <row r="12" spans="1:6" x14ac:dyDescent="0.25">
      <c r="A12" s="4"/>
      <c r="B12" s="4"/>
      <c r="C12" s="4"/>
      <c r="D12" s="4"/>
      <c r="E12" s="4"/>
      <c r="F12" s="4"/>
    </row>
    <row r="13" spans="1:6" x14ac:dyDescent="0.25">
      <c r="A13" s="1"/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</row>
    <row r="14" spans="1:6" x14ac:dyDescent="0.25">
      <c r="A14" s="17" t="s">
        <v>21</v>
      </c>
      <c r="B14" s="1" t="s">
        <v>22</v>
      </c>
      <c r="C14" s="2" t="s">
        <v>10</v>
      </c>
      <c r="D14" s="1">
        <v>1</v>
      </c>
      <c r="E14" s="31" t="s">
        <v>23</v>
      </c>
      <c r="F14" s="31">
        <v>2.6</v>
      </c>
    </row>
    <row r="15" spans="1:6" x14ac:dyDescent="0.25">
      <c r="A15" s="18"/>
      <c r="B15" s="1" t="s">
        <v>9</v>
      </c>
      <c r="C15" s="1" t="s">
        <v>16</v>
      </c>
      <c r="D15" s="1">
        <v>0.7</v>
      </c>
      <c r="E15" s="31"/>
      <c r="F15" s="31"/>
    </row>
    <row r="16" spans="1:6" x14ac:dyDescent="0.25">
      <c r="A16" s="18"/>
      <c r="B16" s="1" t="s">
        <v>24</v>
      </c>
      <c r="C16" s="1" t="s">
        <v>12</v>
      </c>
      <c r="D16" s="1">
        <v>1.23</v>
      </c>
      <c r="E16" s="31"/>
      <c r="F16" s="31"/>
    </row>
    <row r="17" spans="1:6" x14ac:dyDescent="0.25">
      <c r="A17" s="18"/>
      <c r="B17" s="1" t="s">
        <v>13</v>
      </c>
      <c r="C17" s="1" t="s">
        <v>14</v>
      </c>
      <c r="D17" s="1">
        <v>0.6</v>
      </c>
      <c r="E17" s="31"/>
      <c r="F17" s="31"/>
    </row>
    <row r="18" spans="1:6" x14ac:dyDescent="0.25">
      <c r="A18" s="18"/>
      <c r="B18" s="1" t="s">
        <v>25</v>
      </c>
      <c r="C18" s="1" t="s">
        <v>26</v>
      </c>
      <c r="D18" s="1">
        <v>8.5</v>
      </c>
      <c r="E18" s="31"/>
      <c r="F18" s="31"/>
    </row>
    <row r="19" spans="1:6" x14ac:dyDescent="0.25">
      <c r="A19" s="18"/>
      <c r="B19" s="1" t="s">
        <v>27</v>
      </c>
      <c r="C19" s="1" t="s">
        <v>14</v>
      </c>
      <c r="D19" s="1">
        <v>0.6</v>
      </c>
      <c r="E19" s="31"/>
      <c r="F19" s="31"/>
    </row>
    <row r="20" spans="1:6" x14ac:dyDescent="0.25">
      <c r="A20" s="18"/>
      <c r="B20" s="1" t="s">
        <v>11</v>
      </c>
      <c r="C20" s="1" t="s">
        <v>14</v>
      </c>
      <c r="D20" s="1">
        <v>1.7</v>
      </c>
      <c r="E20" s="31"/>
      <c r="F20" s="31"/>
    </row>
    <row r="21" spans="1:6" x14ac:dyDescent="0.25">
      <c r="A21" s="23" t="s">
        <v>20</v>
      </c>
      <c r="B21" s="23"/>
      <c r="C21" s="23"/>
      <c r="D21" s="3">
        <f>SUM(D14:D20)</f>
        <v>14.329999999999998</v>
      </c>
      <c r="E21" s="31"/>
      <c r="F21" s="31"/>
    </row>
    <row r="22" spans="1:6" x14ac:dyDescent="0.25">
      <c r="A22" s="4"/>
      <c r="B22" s="4"/>
      <c r="C22" s="4"/>
      <c r="D22" s="4"/>
      <c r="E22" s="4"/>
      <c r="F22" s="4"/>
    </row>
    <row r="23" spans="1:6" x14ac:dyDescent="0.25">
      <c r="A23" s="1"/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</row>
    <row r="24" spans="1:6" x14ac:dyDescent="0.25">
      <c r="A24" s="17" t="s">
        <v>28</v>
      </c>
      <c r="B24" s="1" t="s">
        <v>29</v>
      </c>
      <c r="C24" s="2">
        <v>0.75</v>
      </c>
      <c r="D24" s="1">
        <v>1.3</v>
      </c>
      <c r="E24" s="20" t="s">
        <v>30</v>
      </c>
      <c r="F24" s="20">
        <v>2.2000000000000002</v>
      </c>
    </row>
    <row r="25" spans="1:6" x14ac:dyDescent="0.25">
      <c r="A25" s="18"/>
      <c r="B25" s="1" t="s">
        <v>31</v>
      </c>
      <c r="C25" s="1" t="s">
        <v>32</v>
      </c>
      <c r="D25" s="1">
        <v>13</v>
      </c>
      <c r="E25" s="21"/>
      <c r="F25" s="21"/>
    </row>
    <row r="26" spans="1:6" x14ac:dyDescent="0.25">
      <c r="A26" s="18"/>
      <c r="B26" s="1" t="s">
        <v>33</v>
      </c>
      <c r="C26" s="1" t="s">
        <v>14</v>
      </c>
      <c r="D26" s="1">
        <v>0.8</v>
      </c>
      <c r="E26" s="21"/>
      <c r="F26" s="21"/>
    </row>
    <row r="27" spans="1:6" x14ac:dyDescent="0.25">
      <c r="A27" s="18"/>
      <c r="B27" s="1" t="s">
        <v>34</v>
      </c>
      <c r="C27" s="1" t="s">
        <v>14</v>
      </c>
      <c r="D27" s="1">
        <v>0.8</v>
      </c>
      <c r="E27" s="21"/>
      <c r="F27" s="21"/>
    </row>
    <row r="28" spans="1:6" x14ac:dyDescent="0.25">
      <c r="A28" s="18"/>
      <c r="B28" s="1" t="s">
        <v>13</v>
      </c>
      <c r="C28" s="1" t="s">
        <v>35</v>
      </c>
      <c r="D28" s="1">
        <v>0.47499999999999998</v>
      </c>
      <c r="E28" s="21"/>
      <c r="F28" s="21"/>
    </row>
    <row r="29" spans="1:6" x14ac:dyDescent="0.25">
      <c r="A29" s="18"/>
      <c r="B29" s="1" t="s">
        <v>36</v>
      </c>
      <c r="C29" s="1" t="s">
        <v>16</v>
      </c>
      <c r="D29" s="1">
        <v>0.6</v>
      </c>
      <c r="E29" s="21"/>
      <c r="F29" s="21"/>
    </row>
    <row r="30" spans="1:6" x14ac:dyDescent="0.25">
      <c r="A30" s="18"/>
      <c r="B30" s="1" t="s">
        <v>37</v>
      </c>
      <c r="C30" s="1" t="s">
        <v>14</v>
      </c>
      <c r="D30" s="1">
        <v>0.65</v>
      </c>
      <c r="E30" s="21"/>
      <c r="F30" s="21"/>
    </row>
    <row r="31" spans="1:6" x14ac:dyDescent="0.25">
      <c r="A31" s="18"/>
      <c r="B31" s="1" t="s">
        <v>38</v>
      </c>
      <c r="C31" s="1" t="s">
        <v>14</v>
      </c>
      <c r="D31" s="1">
        <v>0.56000000000000005</v>
      </c>
      <c r="E31" s="21"/>
      <c r="F31" s="21"/>
    </row>
    <row r="32" spans="1:6" x14ac:dyDescent="0.25">
      <c r="A32" s="18"/>
      <c r="B32" s="1" t="s">
        <v>39</v>
      </c>
      <c r="C32" s="1" t="s">
        <v>40</v>
      </c>
      <c r="D32" s="1">
        <v>0.42499999999999999</v>
      </c>
      <c r="E32" s="21"/>
      <c r="F32" s="21"/>
    </row>
    <row r="33" spans="1:6" x14ac:dyDescent="0.25">
      <c r="A33" s="18"/>
      <c r="B33" s="1" t="s">
        <v>41</v>
      </c>
      <c r="C33" s="1" t="s">
        <v>40</v>
      </c>
      <c r="D33" s="1">
        <v>0.22500000000000001</v>
      </c>
      <c r="E33" s="21"/>
      <c r="F33" s="21"/>
    </row>
    <row r="34" spans="1:6" x14ac:dyDescent="0.25">
      <c r="A34" s="19"/>
      <c r="B34" s="1" t="s">
        <v>42</v>
      </c>
      <c r="C34" s="1" t="s">
        <v>14</v>
      </c>
      <c r="D34" s="1">
        <v>1.7</v>
      </c>
      <c r="E34" s="21"/>
      <c r="F34" s="21"/>
    </row>
    <row r="35" spans="1:6" x14ac:dyDescent="0.25">
      <c r="A35" s="23" t="s">
        <v>20</v>
      </c>
      <c r="B35" s="23"/>
      <c r="C35" s="23"/>
      <c r="D35" s="3">
        <f>SUM(D24:D34)</f>
        <v>20.535000000000004</v>
      </c>
      <c r="E35" s="22"/>
      <c r="F35" s="22"/>
    </row>
    <row r="36" spans="1:6" x14ac:dyDescent="0.25">
      <c r="A36" s="4"/>
      <c r="B36" s="4"/>
      <c r="C36" s="4"/>
      <c r="D36" s="4"/>
      <c r="E36" s="4"/>
      <c r="F36" s="4"/>
    </row>
    <row r="37" spans="1:6" x14ac:dyDescent="0.25">
      <c r="A37" s="24" t="s">
        <v>43</v>
      </c>
      <c r="B37" s="1" t="s">
        <v>1</v>
      </c>
      <c r="C37" s="1" t="s">
        <v>2</v>
      </c>
      <c r="D37" s="1" t="s">
        <v>3</v>
      </c>
      <c r="E37" s="5" t="s">
        <v>4</v>
      </c>
      <c r="F37" s="1" t="s">
        <v>5</v>
      </c>
    </row>
    <row r="38" spans="1:6" x14ac:dyDescent="0.25">
      <c r="A38" s="24"/>
      <c r="B38" s="1" t="s">
        <v>44</v>
      </c>
      <c r="C38" s="2" t="s">
        <v>14</v>
      </c>
      <c r="D38" s="1">
        <v>0.55000000000000004</v>
      </c>
      <c r="E38" s="25" t="s">
        <v>45</v>
      </c>
      <c r="F38" s="28">
        <v>4.2</v>
      </c>
    </row>
    <row r="39" spans="1:6" x14ac:dyDescent="0.25">
      <c r="A39" s="24"/>
      <c r="B39" s="1" t="s">
        <v>46</v>
      </c>
      <c r="C39" s="6">
        <v>1</v>
      </c>
      <c r="D39" s="1">
        <v>0.33</v>
      </c>
      <c r="E39" s="26"/>
      <c r="F39" s="28"/>
    </row>
    <row r="40" spans="1:6" x14ac:dyDescent="0.25">
      <c r="A40" s="24"/>
      <c r="B40" s="1" t="s">
        <v>47</v>
      </c>
      <c r="C40" s="6">
        <v>1</v>
      </c>
      <c r="D40" s="1">
        <v>0.316</v>
      </c>
      <c r="E40" s="26"/>
      <c r="F40" s="28"/>
    </row>
    <row r="41" spans="1:6" x14ac:dyDescent="0.25">
      <c r="A41" s="24"/>
      <c r="B41" s="1" t="s">
        <v>48</v>
      </c>
      <c r="C41" s="6" t="s">
        <v>12</v>
      </c>
      <c r="D41" s="1">
        <v>0.84</v>
      </c>
      <c r="E41" s="26"/>
      <c r="F41" s="28"/>
    </row>
    <row r="42" spans="1:6" x14ac:dyDescent="0.25">
      <c r="A42" s="23" t="s">
        <v>20</v>
      </c>
      <c r="B42" s="23"/>
      <c r="C42" s="23"/>
      <c r="D42" s="3">
        <f>SUM(D38:D41)</f>
        <v>2.036</v>
      </c>
      <c r="E42" s="27"/>
      <c r="F42" s="28"/>
    </row>
    <row r="43" spans="1:6" x14ac:dyDescent="0.25">
      <c r="A43" s="4"/>
      <c r="B43" s="4"/>
      <c r="C43" s="4"/>
      <c r="D43" s="4"/>
      <c r="E43" s="4"/>
      <c r="F43" s="4"/>
    </row>
    <row r="44" spans="1:6" x14ac:dyDescent="0.25">
      <c r="A44" s="7"/>
      <c r="B44" s="4"/>
      <c r="C44" s="4"/>
      <c r="D44" s="4"/>
      <c r="E44" s="4"/>
      <c r="F44" s="4"/>
    </row>
    <row r="45" spans="1:6" x14ac:dyDescent="0.25">
      <c r="A45" s="7"/>
      <c r="B45" s="4"/>
      <c r="C45" s="8"/>
      <c r="D45" s="4"/>
      <c r="E45" s="9"/>
      <c r="F45" s="4"/>
    </row>
    <row r="46" spans="1:6" x14ac:dyDescent="0.25">
      <c r="A46" s="7"/>
      <c r="B46" s="4"/>
      <c r="C46" s="10"/>
      <c r="D46" s="4"/>
      <c r="E46" s="9"/>
      <c r="F46" s="4"/>
    </row>
    <row r="47" spans="1:6" x14ac:dyDescent="0.25">
      <c r="A47" s="7"/>
      <c r="B47" s="4"/>
      <c r="C47" s="10"/>
      <c r="D47" s="4"/>
      <c r="E47" s="9"/>
      <c r="F47" s="4"/>
    </row>
    <row r="48" spans="1:6" x14ac:dyDescent="0.25">
      <c r="A48" s="7"/>
      <c r="B48" s="4"/>
      <c r="C48" s="10"/>
      <c r="D48" s="4"/>
      <c r="E48" s="9"/>
      <c r="F48" s="4"/>
    </row>
    <row r="49" spans="1:6" x14ac:dyDescent="0.25">
      <c r="A49" s="4"/>
      <c r="B49" s="4"/>
      <c r="C49" s="4"/>
      <c r="D49" s="4"/>
      <c r="E49" s="9"/>
      <c r="F49" s="4"/>
    </row>
    <row r="51" spans="1:6" x14ac:dyDescent="0.25">
      <c r="A51" s="24" t="s">
        <v>49</v>
      </c>
      <c r="B51" s="1" t="s">
        <v>1</v>
      </c>
      <c r="C51" s="1" t="s">
        <v>2</v>
      </c>
      <c r="D51" s="1" t="s">
        <v>3</v>
      </c>
      <c r="E51" s="5" t="s">
        <v>4</v>
      </c>
      <c r="F51" s="1" t="s">
        <v>5</v>
      </c>
    </row>
    <row r="52" spans="1:6" x14ac:dyDescent="0.25">
      <c r="A52" s="24"/>
      <c r="B52" s="1" t="s">
        <v>50</v>
      </c>
      <c r="C52" s="2" t="s">
        <v>14</v>
      </c>
      <c r="D52" s="1">
        <v>0.55000000000000004</v>
      </c>
      <c r="E52" s="25" t="s">
        <v>51</v>
      </c>
      <c r="F52" s="28">
        <v>3.7</v>
      </c>
    </row>
    <row r="53" spans="1:6" x14ac:dyDescent="0.25">
      <c r="A53" s="24"/>
      <c r="B53" s="1" t="s">
        <v>31</v>
      </c>
      <c r="C53" s="6" t="s">
        <v>52</v>
      </c>
      <c r="D53" s="1">
        <v>2.5</v>
      </c>
      <c r="E53" s="26"/>
      <c r="F53" s="28"/>
    </row>
    <row r="54" spans="1:6" x14ac:dyDescent="0.25">
      <c r="A54" s="24"/>
      <c r="B54" s="1" t="s">
        <v>46</v>
      </c>
      <c r="C54" s="6">
        <v>1</v>
      </c>
      <c r="D54" s="1">
        <v>0.33</v>
      </c>
      <c r="E54" s="26"/>
      <c r="F54" s="28"/>
    </row>
    <row r="55" spans="1:6" x14ac:dyDescent="0.25">
      <c r="A55" s="24"/>
      <c r="B55" s="1" t="s">
        <v>47</v>
      </c>
      <c r="C55" s="6">
        <v>1</v>
      </c>
      <c r="D55" s="1">
        <v>0.316</v>
      </c>
      <c r="E55" s="26"/>
      <c r="F55" s="28"/>
    </row>
    <row r="56" spans="1:6" x14ac:dyDescent="0.25">
      <c r="A56" s="34"/>
      <c r="B56" s="35"/>
      <c r="C56" s="36"/>
      <c r="D56" s="3">
        <f>SUM(D52:D55)</f>
        <v>3.6959999999999997</v>
      </c>
      <c r="E56" s="27"/>
      <c r="F56" s="28"/>
    </row>
    <row r="58" spans="1:6" x14ac:dyDescent="0.25">
      <c r="A58" s="17" t="s">
        <v>53</v>
      </c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</row>
    <row r="59" spans="1:6" x14ac:dyDescent="0.25">
      <c r="A59" s="18"/>
      <c r="B59" s="1" t="s">
        <v>54</v>
      </c>
      <c r="C59" s="2" t="s">
        <v>32</v>
      </c>
      <c r="D59" s="1">
        <v>13</v>
      </c>
      <c r="E59" s="28" t="s">
        <v>55</v>
      </c>
      <c r="F59" s="28">
        <v>2.2000000000000002</v>
      </c>
    </row>
    <row r="60" spans="1:6" x14ac:dyDescent="0.25">
      <c r="A60" s="18"/>
      <c r="B60" s="1" t="s">
        <v>56</v>
      </c>
      <c r="C60" s="6" t="s">
        <v>57</v>
      </c>
      <c r="D60" s="1">
        <v>0.75</v>
      </c>
      <c r="E60" s="28"/>
      <c r="F60" s="28"/>
    </row>
    <row r="61" spans="1:6" x14ac:dyDescent="0.25">
      <c r="A61" s="18"/>
      <c r="B61" s="1" t="s">
        <v>58</v>
      </c>
      <c r="C61" s="6" t="s">
        <v>26</v>
      </c>
      <c r="D61" s="1">
        <v>0.3</v>
      </c>
      <c r="E61" s="28"/>
      <c r="F61" s="28"/>
    </row>
    <row r="62" spans="1:6" x14ac:dyDescent="0.25">
      <c r="A62" s="18"/>
      <c r="B62" s="1" t="s">
        <v>59</v>
      </c>
      <c r="C62" s="6" t="s">
        <v>16</v>
      </c>
      <c r="D62" s="1">
        <v>0.4</v>
      </c>
      <c r="E62" s="28"/>
      <c r="F62" s="28"/>
    </row>
    <row r="63" spans="1:6" x14ac:dyDescent="0.25">
      <c r="A63" s="18"/>
      <c r="B63" s="1" t="s">
        <v>60</v>
      </c>
      <c r="C63" s="1"/>
      <c r="D63" s="1"/>
      <c r="E63" s="28"/>
      <c r="F63" s="28"/>
    </row>
    <row r="64" spans="1:6" x14ac:dyDescent="0.25">
      <c r="A64" s="18"/>
      <c r="B64" s="1" t="s">
        <v>61</v>
      </c>
      <c r="C64" s="1"/>
      <c r="D64" s="1">
        <v>1</v>
      </c>
      <c r="E64" s="28"/>
      <c r="F64" s="28"/>
    </row>
    <row r="65" spans="1:6" x14ac:dyDescent="0.25">
      <c r="A65" s="18"/>
      <c r="B65" s="1" t="s">
        <v>62</v>
      </c>
      <c r="C65" s="1"/>
      <c r="D65" s="1"/>
      <c r="E65" s="28"/>
      <c r="F65" s="28"/>
    </row>
    <row r="66" spans="1:6" x14ac:dyDescent="0.25">
      <c r="A66" s="18"/>
      <c r="B66" s="11" t="s">
        <v>63</v>
      </c>
      <c r="C66" s="11" t="s">
        <v>57</v>
      </c>
      <c r="D66" s="11">
        <v>0.63200000000000001</v>
      </c>
      <c r="E66" s="28"/>
      <c r="F66" s="28"/>
    </row>
    <row r="67" spans="1:6" x14ac:dyDescent="0.25">
      <c r="A67" s="23" t="s">
        <v>20</v>
      </c>
      <c r="B67" s="23"/>
      <c r="C67" s="23"/>
      <c r="D67" s="3">
        <f>SUM(D59:D66)</f>
        <v>16.082000000000001</v>
      </c>
      <c r="E67" s="28"/>
      <c r="F67" s="28"/>
    </row>
    <row r="69" spans="1:6" x14ac:dyDescent="0.25">
      <c r="A69" s="1"/>
      <c r="B69" s="1" t="s">
        <v>1</v>
      </c>
      <c r="C69" s="1" t="s">
        <v>2</v>
      </c>
      <c r="D69" s="1" t="s">
        <v>3</v>
      </c>
      <c r="E69" s="1" t="s">
        <v>4</v>
      </c>
      <c r="F69" s="1" t="s">
        <v>5</v>
      </c>
    </row>
    <row r="70" spans="1:6" x14ac:dyDescent="0.25">
      <c r="A70" s="32" t="s">
        <v>64</v>
      </c>
      <c r="B70" s="1" t="s">
        <v>65</v>
      </c>
      <c r="C70" s="2" t="s">
        <v>66</v>
      </c>
      <c r="D70" s="1">
        <v>12.5</v>
      </c>
      <c r="E70" s="28" t="s">
        <v>67</v>
      </c>
      <c r="F70" s="28">
        <v>2.4</v>
      </c>
    </row>
    <row r="71" spans="1:6" x14ac:dyDescent="0.25">
      <c r="A71" s="32"/>
      <c r="B71" s="1" t="s">
        <v>68</v>
      </c>
      <c r="C71" s="1" t="s">
        <v>12</v>
      </c>
      <c r="D71" s="1">
        <v>2.5499999999999998</v>
      </c>
      <c r="E71" s="28"/>
      <c r="F71" s="28"/>
    </row>
    <row r="72" spans="1:6" x14ac:dyDescent="0.25">
      <c r="A72" s="32"/>
      <c r="B72" s="1" t="s">
        <v>69</v>
      </c>
      <c r="C72" s="1" t="s">
        <v>16</v>
      </c>
      <c r="D72" s="1">
        <v>0.5</v>
      </c>
      <c r="E72" s="28"/>
      <c r="F72" s="28"/>
    </row>
    <row r="73" spans="1:6" x14ac:dyDescent="0.25">
      <c r="A73" s="32"/>
      <c r="B73" s="1" t="s">
        <v>70</v>
      </c>
      <c r="C73" s="1" t="s">
        <v>14</v>
      </c>
      <c r="D73" s="1">
        <v>0.6</v>
      </c>
      <c r="E73" s="28"/>
      <c r="F73" s="28"/>
    </row>
    <row r="74" spans="1:6" x14ac:dyDescent="0.25">
      <c r="A74" s="32"/>
      <c r="B74" s="1" t="s">
        <v>71</v>
      </c>
      <c r="C74" s="1" t="s">
        <v>14</v>
      </c>
      <c r="D74" s="1">
        <v>0.2</v>
      </c>
      <c r="E74" s="28"/>
      <c r="F74" s="28"/>
    </row>
    <row r="75" spans="1:6" x14ac:dyDescent="0.25">
      <c r="A75" s="32"/>
      <c r="B75" s="1" t="s">
        <v>72</v>
      </c>
      <c r="C75" s="1" t="s">
        <v>14</v>
      </c>
      <c r="D75" s="1">
        <v>0.25</v>
      </c>
      <c r="E75" s="28"/>
      <c r="F75" s="28"/>
    </row>
    <row r="76" spans="1:6" x14ac:dyDescent="0.25">
      <c r="A76" s="32"/>
      <c r="B76" s="1" t="s">
        <v>73</v>
      </c>
      <c r="C76" s="1"/>
      <c r="D76" s="1">
        <v>0.2</v>
      </c>
      <c r="E76" s="28"/>
      <c r="F76" s="28"/>
    </row>
    <row r="77" spans="1:6" x14ac:dyDescent="0.25">
      <c r="A77" s="23" t="s">
        <v>20</v>
      </c>
      <c r="B77" s="23"/>
      <c r="C77" s="23"/>
      <c r="D77" s="3">
        <f>SUM(D70:D76)</f>
        <v>16.8</v>
      </c>
      <c r="E77" s="28"/>
      <c r="F77" s="28"/>
    </row>
    <row r="79" spans="1:6" x14ac:dyDescent="0.25">
      <c r="A79" s="11"/>
      <c r="B79" s="11" t="s">
        <v>1</v>
      </c>
      <c r="C79" s="11" t="s">
        <v>2</v>
      </c>
      <c r="D79" s="11" t="s">
        <v>3</v>
      </c>
      <c r="E79" s="1" t="s">
        <v>4</v>
      </c>
      <c r="F79" s="1" t="s">
        <v>5</v>
      </c>
    </row>
    <row r="80" spans="1:6" x14ac:dyDescent="0.25">
      <c r="A80" s="33" t="s">
        <v>74</v>
      </c>
      <c r="B80" s="1" t="s">
        <v>75</v>
      </c>
      <c r="C80" s="2" t="s">
        <v>32</v>
      </c>
      <c r="D80" s="1">
        <v>6.75</v>
      </c>
      <c r="E80" s="28" t="s">
        <v>76</v>
      </c>
      <c r="F80" s="28">
        <v>2.5</v>
      </c>
    </row>
    <row r="81" spans="1:6" x14ac:dyDescent="0.25">
      <c r="A81" s="33"/>
      <c r="B81" s="1" t="s">
        <v>68</v>
      </c>
      <c r="C81" s="1" t="s">
        <v>12</v>
      </c>
      <c r="D81" s="1">
        <v>2.5499999999999998</v>
      </c>
      <c r="E81" s="28"/>
      <c r="F81" s="28"/>
    </row>
    <row r="82" spans="1:6" x14ac:dyDescent="0.25">
      <c r="A82" s="33"/>
      <c r="B82" s="1" t="s">
        <v>69</v>
      </c>
      <c r="C82" s="1" t="s">
        <v>16</v>
      </c>
      <c r="D82" s="1">
        <v>0.5</v>
      </c>
      <c r="E82" s="28"/>
      <c r="F82" s="28"/>
    </row>
    <row r="83" spans="1:6" x14ac:dyDescent="0.25">
      <c r="A83" s="33"/>
      <c r="B83" s="1" t="s">
        <v>70</v>
      </c>
      <c r="C83" s="1" t="s">
        <v>14</v>
      </c>
      <c r="D83" s="1">
        <v>0.6</v>
      </c>
      <c r="E83" s="28"/>
      <c r="F83" s="28"/>
    </row>
    <row r="84" spans="1:6" x14ac:dyDescent="0.25">
      <c r="A84" s="33"/>
      <c r="B84" s="1" t="s">
        <v>71</v>
      </c>
      <c r="C84" s="1" t="s">
        <v>14</v>
      </c>
      <c r="D84" s="1">
        <v>0.2</v>
      </c>
      <c r="E84" s="28"/>
      <c r="F84" s="28"/>
    </row>
    <row r="85" spans="1:6" x14ac:dyDescent="0.25">
      <c r="A85" s="33"/>
      <c r="B85" s="1" t="s">
        <v>72</v>
      </c>
      <c r="C85" s="1" t="s">
        <v>14</v>
      </c>
      <c r="D85" s="1">
        <v>0.25</v>
      </c>
      <c r="E85" s="28"/>
      <c r="F85" s="28"/>
    </row>
    <row r="86" spans="1:6" x14ac:dyDescent="0.25">
      <c r="A86" s="33"/>
      <c r="B86" s="1" t="s">
        <v>73</v>
      </c>
      <c r="C86" s="1"/>
      <c r="D86" s="1">
        <v>0.2</v>
      </c>
      <c r="E86" s="28"/>
      <c r="F86" s="28"/>
    </row>
    <row r="87" spans="1:6" x14ac:dyDescent="0.25">
      <c r="A87" s="23" t="s">
        <v>20</v>
      </c>
      <c r="B87" s="23"/>
      <c r="C87" s="23"/>
      <c r="D87" s="3">
        <f>SUM(D80:D86)</f>
        <v>11.049999999999999</v>
      </c>
      <c r="E87" s="28"/>
      <c r="F87" s="28"/>
    </row>
    <row r="89" spans="1:6" x14ac:dyDescent="0.25">
      <c r="A89" s="17" t="s">
        <v>77</v>
      </c>
      <c r="B89" s="1" t="s">
        <v>1</v>
      </c>
      <c r="C89" s="1" t="s">
        <v>78</v>
      </c>
      <c r="D89" s="1" t="s">
        <v>3</v>
      </c>
      <c r="E89" s="1" t="s">
        <v>4</v>
      </c>
      <c r="F89" s="1" t="s">
        <v>5</v>
      </c>
    </row>
    <row r="90" spans="1:6" x14ac:dyDescent="0.25">
      <c r="A90" s="18"/>
      <c r="B90" s="1" t="s">
        <v>79</v>
      </c>
      <c r="C90" s="2" t="s">
        <v>18</v>
      </c>
      <c r="D90" s="1">
        <v>4.8</v>
      </c>
      <c r="E90" s="38" t="s">
        <v>76</v>
      </c>
      <c r="F90" s="38">
        <v>3.6</v>
      </c>
    </row>
    <row r="91" spans="1:6" x14ac:dyDescent="0.25">
      <c r="A91" s="18"/>
      <c r="B91" s="1" t="s">
        <v>56</v>
      </c>
      <c r="C91" s="6" t="s">
        <v>57</v>
      </c>
      <c r="D91" s="1">
        <v>0.75</v>
      </c>
      <c r="E91" s="39"/>
      <c r="F91" s="39"/>
    </row>
    <row r="92" spans="1:6" x14ac:dyDescent="0.25">
      <c r="A92" s="18"/>
      <c r="B92" s="1" t="s">
        <v>58</v>
      </c>
      <c r="C92" s="6" t="s">
        <v>26</v>
      </c>
      <c r="D92" s="1">
        <v>0.3</v>
      </c>
      <c r="E92" s="39"/>
      <c r="F92" s="39"/>
    </row>
    <row r="93" spans="1:6" x14ac:dyDescent="0.25">
      <c r="A93" s="18"/>
      <c r="B93" s="1" t="s">
        <v>59</v>
      </c>
      <c r="C93" s="6" t="s">
        <v>16</v>
      </c>
      <c r="D93" s="1">
        <v>0.4</v>
      </c>
      <c r="E93" s="39"/>
      <c r="F93" s="39"/>
    </row>
    <row r="94" spans="1:6" x14ac:dyDescent="0.25">
      <c r="A94" s="18"/>
      <c r="B94" s="1" t="s">
        <v>60</v>
      </c>
      <c r="C94" s="1"/>
      <c r="D94" s="1"/>
      <c r="E94" s="39"/>
      <c r="F94" s="39"/>
    </row>
    <row r="95" spans="1:6" x14ac:dyDescent="0.25">
      <c r="A95" s="18"/>
      <c r="B95" s="1" t="s">
        <v>61</v>
      </c>
      <c r="C95" s="1"/>
      <c r="D95" s="1">
        <v>1</v>
      </c>
      <c r="E95" s="39"/>
      <c r="F95" s="39"/>
    </row>
    <row r="96" spans="1:6" x14ac:dyDescent="0.25">
      <c r="A96" s="18"/>
      <c r="B96" s="1" t="s">
        <v>62</v>
      </c>
      <c r="C96" s="1"/>
      <c r="D96" s="1"/>
      <c r="E96" s="39"/>
      <c r="F96" s="39"/>
    </row>
    <row r="97" spans="1:6" x14ac:dyDescent="0.25">
      <c r="A97" s="18"/>
      <c r="B97" s="1" t="s">
        <v>63</v>
      </c>
      <c r="C97" s="1" t="s">
        <v>57</v>
      </c>
      <c r="D97" s="1">
        <v>0.63200000000000001</v>
      </c>
      <c r="E97" s="39"/>
      <c r="F97" s="39"/>
    </row>
    <row r="98" spans="1:6" x14ac:dyDescent="0.25">
      <c r="A98" s="23" t="s">
        <v>20</v>
      </c>
      <c r="B98" s="23"/>
      <c r="C98" s="23"/>
      <c r="D98" s="3">
        <f>SUM(D90:D97)</f>
        <v>7.8819999999999997</v>
      </c>
      <c r="E98" s="40"/>
      <c r="F98" s="40"/>
    </row>
    <row r="101" spans="1:6" x14ac:dyDescent="0.25">
      <c r="A101" s="17" t="s">
        <v>80</v>
      </c>
      <c r="B101" s="1" t="s">
        <v>1</v>
      </c>
      <c r="C101" s="1" t="s">
        <v>78</v>
      </c>
      <c r="D101" s="1" t="s">
        <v>3</v>
      </c>
      <c r="E101" s="1" t="s">
        <v>4</v>
      </c>
      <c r="F101" s="1" t="s">
        <v>5</v>
      </c>
    </row>
    <row r="102" spans="1:6" x14ac:dyDescent="0.25">
      <c r="A102" s="18"/>
      <c r="B102" s="1" t="s">
        <v>31</v>
      </c>
      <c r="C102" s="2" t="s">
        <v>81</v>
      </c>
      <c r="D102" s="1">
        <v>13</v>
      </c>
      <c r="E102" s="28" t="s">
        <v>82</v>
      </c>
      <c r="F102" s="28">
        <v>2.2999999999999998</v>
      </c>
    </row>
    <row r="103" spans="1:6" x14ac:dyDescent="0.25">
      <c r="A103" s="18"/>
      <c r="B103" s="1" t="s">
        <v>83</v>
      </c>
      <c r="C103" s="6" t="s">
        <v>84</v>
      </c>
      <c r="D103" s="1"/>
      <c r="E103" s="28"/>
      <c r="F103" s="28"/>
    </row>
    <row r="104" spans="1:6" x14ac:dyDescent="0.25">
      <c r="A104" s="18"/>
      <c r="B104" s="1" t="s">
        <v>85</v>
      </c>
      <c r="C104" s="6" t="s">
        <v>16</v>
      </c>
      <c r="D104" s="1"/>
      <c r="E104" s="28"/>
      <c r="F104" s="28"/>
    </row>
    <row r="105" spans="1:6" x14ac:dyDescent="0.25">
      <c r="A105" s="18"/>
      <c r="B105" s="1" t="s">
        <v>86</v>
      </c>
      <c r="C105" s="6" t="s">
        <v>14</v>
      </c>
      <c r="D105" s="1">
        <v>0.5</v>
      </c>
      <c r="E105" s="28"/>
      <c r="F105" s="28"/>
    </row>
    <row r="106" spans="1:6" x14ac:dyDescent="0.25">
      <c r="A106" s="18"/>
      <c r="B106" s="1" t="s">
        <v>87</v>
      </c>
      <c r="C106" s="1" t="s">
        <v>10</v>
      </c>
      <c r="D106" s="1">
        <v>1</v>
      </c>
      <c r="E106" s="28"/>
      <c r="F106" s="28"/>
    </row>
    <row r="107" spans="1:6" x14ac:dyDescent="0.25">
      <c r="A107" s="18"/>
      <c r="B107" s="1" t="s">
        <v>88</v>
      </c>
      <c r="C107" s="1" t="s">
        <v>89</v>
      </c>
      <c r="D107" s="1">
        <v>3</v>
      </c>
      <c r="E107" s="28"/>
      <c r="F107" s="28"/>
    </row>
    <row r="108" spans="1:6" x14ac:dyDescent="0.25">
      <c r="A108" s="18"/>
      <c r="B108" s="1" t="s">
        <v>90</v>
      </c>
      <c r="C108" s="1" t="s">
        <v>16</v>
      </c>
      <c r="D108" s="1">
        <v>0.2</v>
      </c>
      <c r="E108" s="28"/>
      <c r="F108" s="28"/>
    </row>
    <row r="109" spans="1:6" x14ac:dyDescent="0.25">
      <c r="A109" s="18"/>
      <c r="B109" s="1" t="s">
        <v>91</v>
      </c>
      <c r="C109" s="1" t="s">
        <v>16</v>
      </c>
      <c r="D109" s="1">
        <v>0.25</v>
      </c>
      <c r="E109" s="28"/>
      <c r="F109" s="28"/>
    </row>
    <row r="110" spans="1:6" x14ac:dyDescent="0.25">
      <c r="A110" s="18"/>
      <c r="B110" s="1" t="s">
        <v>92</v>
      </c>
      <c r="C110" s="1" t="s">
        <v>93</v>
      </c>
      <c r="D110" s="1">
        <v>0.1</v>
      </c>
      <c r="E110" s="28"/>
      <c r="F110" s="28"/>
    </row>
    <row r="111" spans="1:6" x14ac:dyDescent="0.25">
      <c r="A111" s="19"/>
      <c r="B111" s="1" t="s">
        <v>94</v>
      </c>
      <c r="C111" s="1"/>
      <c r="D111" s="1">
        <v>0.2</v>
      </c>
      <c r="E111" s="28"/>
      <c r="F111" s="28"/>
    </row>
    <row r="112" spans="1:6" x14ac:dyDescent="0.25">
      <c r="A112" s="23" t="s">
        <v>20</v>
      </c>
      <c r="B112" s="23"/>
      <c r="C112" s="23"/>
      <c r="D112" s="3">
        <f>SUM(D102:D111)</f>
        <v>18.25</v>
      </c>
      <c r="E112" s="28"/>
      <c r="F112" s="28"/>
    </row>
    <row r="114" spans="1:6" x14ac:dyDescent="0.25">
      <c r="A114" s="17" t="s">
        <v>95</v>
      </c>
      <c r="B114" s="1" t="s">
        <v>1</v>
      </c>
      <c r="C114" s="1" t="s">
        <v>78</v>
      </c>
      <c r="D114" s="1" t="s">
        <v>3</v>
      </c>
      <c r="E114" s="1" t="s">
        <v>4</v>
      </c>
      <c r="F114" s="1" t="s">
        <v>5</v>
      </c>
    </row>
    <row r="115" spans="1:6" x14ac:dyDescent="0.25">
      <c r="A115" s="18"/>
      <c r="B115" s="1" t="s">
        <v>54</v>
      </c>
      <c r="C115" s="2" t="s">
        <v>81</v>
      </c>
      <c r="D115" s="1">
        <v>13</v>
      </c>
      <c r="E115" s="28" t="s">
        <v>96</v>
      </c>
      <c r="F115" s="28">
        <v>2.2999999999999998</v>
      </c>
    </row>
    <row r="116" spans="1:6" x14ac:dyDescent="0.25">
      <c r="A116" s="18"/>
      <c r="B116" s="1" t="s">
        <v>97</v>
      </c>
      <c r="C116" s="6" t="s">
        <v>84</v>
      </c>
      <c r="D116" s="1"/>
      <c r="E116" s="28"/>
      <c r="F116" s="28"/>
    </row>
    <row r="117" spans="1:6" x14ac:dyDescent="0.25">
      <c r="A117" s="18"/>
      <c r="B117" s="1" t="s">
        <v>65</v>
      </c>
      <c r="C117" s="6" t="s">
        <v>16</v>
      </c>
      <c r="D117" s="1"/>
      <c r="E117" s="28"/>
      <c r="F117" s="28"/>
    </row>
    <row r="118" spans="1:6" x14ac:dyDescent="0.25">
      <c r="A118" s="18"/>
      <c r="B118" s="1" t="s">
        <v>98</v>
      </c>
      <c r="C118" s="6" t="s">
        <v>14</v>
      </c>
      <c r="D118" s="1">
        <v>0.5</v>
      </c>
      <c r="E118" s="28"/>
      <c r="F118" s="28"/>
    </row>
    <row r="119" spans="1:6" x14ac:dyDescent="0.25">
      <c r="A119" s="18"/>
      <c r="B119" s="1" t="s">
        <v>99</v>
      </c>
      <c r="C119" s="1" t="s">
        <v>100</v>
      </c>
      <c r="D119" s="1">
        <v>0.4</v>
      </c>
      <c r="E119" s="28"/>
      <c r="F119" s="28"/>
    </row>
    <row r="120" spans="1:6" x14ac:dyDescent="0.25">
      <c r="A120" s="18"/>
      <c r="B120" s="1" t="s">
        <v>101</v>
      </c>
      <c r="C120" s="1" t="s">
        <v>35</v>
      </c>
      <c r="D120" s="1">
        <v>1.3</v>
      </c>
      <c r="E120" s="28"/>
      <c r="F120" s="28"/>
    </row>
    <row r="121" spans="1:6" x14ac:dyDescent="0.25">
      <c r="A121" s="18"/>
      <c r="B121" s="1" t="s">
        <v>102</v>
      </c>
      <c r="C121" s="1" t="s">
        <v>12</v>
      </c>
      <c r="D121" s="1">
        <v>0.9</v>
      </c>
      <c r="E121" s="28"/>
      <c r="F121" s="28"/>
    </row>
    <row r="122" spans="1:6" x14ac:dyDescent="0.25">
      <c r="A122" s="18"/>
      <c r="B122" s="1" t="s">
        <v>103</v>
      </c>
      <c r="C122" s="1"/>
      <c r="D122" s="1">
        <v>0.2</v>
      </c>
      <c r="E122" s="28"/>
      <c r="F122" s="28"/>
    </row>
    <row r="123" spans="1:6" x14ac:dyDescent="0.25">
      <c r="A123" s="19"/>
      <c r="B123" s="1" t="s">
        <v>104</v>
      </c>
      <c r="C123" s="1" t="s">
        <v>40</v>
      </c>
      <c r="D123" s="1">
        <v>0.2</v>
      </c>
      <c r="E123" s="28"/>
      <c r="F123" s="28"/>
    </row>
    <row r="124" spans="1:6" x14ac:dyDescent="0.25">
      <c r="A124" s="23" t="s">
        <v>20</v>
      </c>
      <c r="B124" s="23"/>
      <c r="C124" s="23"/>
      <c r="D124" s="3">
        <f>SUM(D115:D123)</f>
        <v>16.5</v>
      </c>
      <c r="E124" s="28"/>
      <c r="F124" s="28"/>
    </row>
    <row r="126" spans="1:6" x14ac:dyDescent="0.25">
      <c r="A126" s="37" t="s">
        <v>105</v>
      </c>
      <c r="B126" s="1" t="s">
        <v>1</v>
      </c>
      <c r="C126" s="1" t="s">
        <v>78</v>
      </c>
      <c r="D126" s="1" t="s">
        <v>3</v>
      </c>
      <c r="E126" s="1" t="s">
        <v>4</v>
      </c>
      <c r="F126" s="1" t="s">
        <v>5</v>
      </c>
    </row>
    <row r="127" spans="1:6" x14ac:dyDescent="0.25">
      <c r="A127" s="37"/>
      <c r="B127" s="1" t="s">
        <v>106</v>
      </c>
      <c r="C127" s="2" t="s">
        <v>107</v>
      </c>
      <c r="D127" s="1">
        <v>3.85</v>
      </c>
      <c r="E127" s="28" t="s">
        <v>108</v>
      </c>
      <c r="F127" s="28">
        <v>4.3</v>
      </c>
    </row>
    <row r="128" spans="1:6" x14ac:dyDescent="0.25">
      <c r="A128" s="37"/>
      <c r="B128" s="1" t="s">
        <v>109</v>
      </c>
      <c r="C128" s="6" t="s">
        <v>10</v>
      </c>
      <c r="D128" s="1">
        <v>0.35</v>
      </c>
      <c r="E128" s="28"/>
      <c r="F128" s="28"/>
    </row>
    <row r="129" spans="1:6" x14ac:dyDescent="0.25">
      <c r="A129" s="37"/>
      <c r="B129" s="1" t="s">
        <v>110</v>
      </c>
      <c r="C129" s="6" t="s">
        <v>12</v>
      </c>
      <c r="D129" s="1">
        <v>0.2</v>
      </c>
      <c r="E129" s="28"/>
      <c r="F129" s="28"/>
    </row>
    <row r="130" spans="1:6" x14ac:dyDescent="0.25">
      <c r="A130" s="37"/>
      <c r="B130" s="1" t="s">
        <v>59</v>
      </c>
      <c r="C130" s="6" t="s">
        <v>14</v>
      </c>
      <c r="D130" s="1">
        <v>0.16</v>
      </c>
      <c r="E130" s="28"/>
      <c r="F130" s="28"/>
    </row>
    <row r="131" spans="1:6" x14ac:dyDescent="0.25">
      <c r="A131" s="37"/>
      <c r="B131" s="1" t="s">
        <v>63</v>
      </c>
      <c r="C131" s="1" t="s">
        <v>57</v>
      </c>
      <c r="D131" s="1">
        <v>0.63200000000000001</v>
      </c>
      <c r="E131" s="28"/>
      <c r="F131" s="28"/>
    </row>
    <row r="132" spans="1:6" x14ac:dyDescent="0.25">
      <c r="A132" s="37"/>
      <c r="B132" s="1" t="s">
        <v>103</v>
      </c>
      <c r="C132" s="1"/>
      <c r="D132" s="1"/>
      <c r="E132" s="28"/>
      <c r="F132" s="28"/>
    </row>
    <row r="133" spans="1:6" x14ac:dyDescent="0.25">
      <c r="A133" s="37"/>
      <c r="B133" s="1" t="s">
        <v>111</v>
      </c>
      <c r="C133" s="1"/>
      <c r="D133" s="1">
        <v>1</v>
      </c>
      <c r="E133" s="28"/>
      <c r="F133" s="28"/>
    </row>
    <row r="134" spans="1:6" x14ac:dyDescent="0.25">
      <c r="A134" s="37"/>
      <c r="B134" s="1" t="s">
        <v>112</v>
      </c>
      <c r="C134" s="1"/>
      <c r="D134" s="1"/>
      <c r="E134" s="28"/>
      <c r="F134" s="28"/>
    </row>
    <row r="135" spans="1:6" x14ac:dyDescent="0.25">
      <c r="A135" s="23" t="s">
        <v>20</v>
      </c>
      <c r="B135" s="23"/>
      <c r="C135" s="23"/>
      <c r="D135" s="3">
        <f>SUM(D127:D134)</f>
        <v>6.1920000000000002</v>
      </c>
      <c r="E135" s="28"/>
      <c r="F135" s="28"/>
    </row>
    <row r="137" spans="1:6" x14ac:dyDescent="0.25">
      <c r="A137" s="17" t="s">
        <v>113</v>
      </c>
      <c r="B137" s="1" t="s">
        <v>1</v>
      </c>
      <c r="C137" s="1" t="s">
        <v>78</v>
      </c>
      <c r="D137" s="1" t="s">
        <v>3</v>
      </c>
      <c r="E137" s="1" t="s">
        <v>4</v>
      </c>
      <c r="F137" s="1" t="s">
        <v>5</v>
      </c>
    </row>
    <row r="138" spans="1:6" x14ac:dyDescent="0.25">
      <c r="A138" s="18"/>
      <c r="B138" s="1" t="s">
        <v>114</v>
      </c>
      <c r="C138" s="2" t="s">
        <v>115</v>
      </c>
      <c r="D138" s="1">
        <v>7.2</v>
      </c>
      <c r="E138" s="38" t="s">
        <v>116</v>
      </c>
      <c r="F138" s="38">
        <v>2.8</v>
      </c>
    </row>
    <row r="139" spans="1:6" x14ac:dyDescent="0.25">
      <c r="A139" s="18"/>
      <c r="B139" s="1" t="s">
        <v>117</v>
      </c>
      <c r="C139" s="6" t="s">
        <v>18</v>
      </c>
      <c r="D139" s="1">
        <v>0.15</v>
      </c>
      <c r="E139" s="39"/>
      <c r="F139" s="39"/>
    </row>
    <row r="140" spans="1:6" x14ac:dyDescent="0.25">
      <c r="A140" s="18"/>
      <c r="B140" s="1" t="s">
        <v>69</v>
      </c>
      <c r="C140" s="6" t="s">
        <v>12</v>
      </c>
      <c r="D140" s="1">
        <v>0.3</v>
      </c>
      <c r="E140" s="39"/>
      <c r="F140" s="39"/>
    </row>
    <row r="141" spans="1:6" x14ac:dyDescent="0.25">
      <c r="A141" s="18"/>
      <c r="B141" s="1" t="s">
        <v>104</v>
      </c>
      <c r="C141" s="6" t="s">
        <v>40</v>
      </c>
      <c r="D141" s="1">
        <v>0.2</v>
      </c>
      <c r="E141" s="39"/>
      <c r="F141" s="39"/>
    </row>
    <row r="142" spans="1:6" x14ac:dyDescent="0.25">
      <c r="A142" s="18"/>
      <c r="B142" s="1" t="s">
        <v>59</v>
      </c>
      <c r="C142" s="1" t="s">
        <v>35</v>
      </c>
      <c r="D142" s="1">
        <v>0.16</v>
      </c>
      <c r="E142" s="39"/>
      <c r="F142" s="39"/>
    </row>
    <row r="143" spans="1:6" x14ac:dyDescent="0.25">
      <c r="A143" s="18"/>
      <c r="B143" s="1" t="s">
        <v>118</v>
      </c>
      <c r="C143" s="1" t="s">
        <v>12</v>
      </c>
      <c r="D143" s="1">
        <v>2.6</v>
      </c>
      <c r="E143" s="39"/>
      <c r="F143" s="39"/>
    </row>
    <row r="144" spans="1:6" x14ac:dyDescent="0.25">
      <c r="A144" s="18"/>
      <c r="B144" s="1" t="s">
        <v>103</v>
      </c>
      <c r="C144" s="1"/>
      <c r="D144" s="1"/>
      <c r="E144" s="39"/>
      <c r="F144" s="39"/>
    </row>
    <row r="145" spans="1:6" x14ac:dyDescent="0.25">
      <c r="A145" s="18"/>
      <c r="B145" s="1" t="s">
        <v>119</v>
      </c>
      <c r="C145" s="1" t="s">
        <v>81</v>
      </c>
      <c r="D145" s="1">
        <v>1</v>
      </c>
      <c r="E145" s="39"/>
      <c r="F145" s="39"/>
    </row>
    <row r="146" spans="1:6" x14ac:dyDescent="0.25">
      <c r="A146" s="19"/>
      <c r="B146" s="1" t="s">
        <v>120</v>
      </c>
      <c r="C146" s="1"/>
      <c r="D146" s="1"/>
      <c r="E146" s="39"/>
      <c r="F146" s="39"/>
    </row>
    <row r="147" spans="1:6" x14ac:dyDescent="0.25">
      <c r="A147" s="23" t="s">
        <v>20</v>
      </c>
      <c r="B147" s="23"/>
      <c r="C147" s="23"/>
      <c r="D147" s="3">
        <f>SUM(D138:D146)</f>
        <v>11.61</v>
      </c>
      <c r="E147" s="40"/>
      <c r="F147" s="40"/>
    </row>
    <row r="151" spans="1:6" x14ac:dyDescent="0.25">
      <c r="A151" s="46" t="s">
        <v>121</v>
      </c>
      <c r="B151" s="1" t="s">
        <v>1</v>
      </c>
      <c r="C151" s="1" t="s">
        <v>78</v>
      </c>
      <c r="D151" s="1" t="s">
        <v>3</v>
      </c>
      <c r="E151" s="1" t="s">
        <v>4</v>
      </c>
      <c r="F151" s="1" t="s">
        <v>5</v>
      </c>
    </row>
    <row r="152" spans="1:6" x14ac:dyDescent="0.25">
      <c r="A152" s="47"/>
      <c r="B152" s="1" t="s">
        <v>122</v>
      </c>
      <c r="C152" s="2" t="s">
        <v>123</v>
      </c>
      <c r="D152" s="1">
        <v>0.8</v>
      </c>
      <c r="E152" s="28" t="s">
        <v>124</v>
      </c>
      <c r="F152" s="28">
        <v>4</v>
      </c>
    </row>
    <row r="153" spans="1:6" x14ac:dyDescent="0.25">
      <c r="A153" s="47"/>
      <c r="B153" s="1" t="s">
        <v>125</v>
      </c>
      <c r="C153" s="6" t="s">
        <v>18</v>
      </c>
      <c r="D153" s="1">
        <v>2.7</v>
      </c>
      <c r="E153" s="28"/>
      <c r="F153" s="28"/>
    </row>
    <row r="154" spans="1:6" x14ac:dyDescent="0.25">
      <c r="A154" s="47"/>
      <c r="B154" s="1" t="s">
        <v>99</v>
      </c>
      <c r="C154" s="6" t="s">
        <v>126</v>
      </c>
      <c r="D154" s="1">
        <v>1</v>
      </c>
      <c r="E154" s="28"/>
      <c r="F154" s="28"/>
    </row>
    <row r="155" spans="1:6" x14ac:dyDescent="0.25">
      <c r="A155" s="47"/>
      <c r="B155" s="1" t="s">
        <v>127</v>
      </c>
      <c r="C155" s="6" t="s">
        <v>52</v>
      </c>
      <c r="D155" s="1">
        <v>0.32</v>
      </c>
      <c r="E155" s="28"/>
      <c r="F155" s="28"/>
    </row>
    <row r="156" spans="1:6" x14ac:dyDescent="0.25">
      <c r="A156" s="47"/>
      <c r="B156" s="1" t="s">
        <v>101</v>
      </c>
      <c r="C156" s="1" t="s">
        <v>14</v>
      </c>
      <c r="D156" s="1">
        <v>1.7</v>
      </c>
      <c r="E156" s="28"/>
      <c r="F156" s="28"/>
    </row>
    <row r="157" spans="1:6" x14ac:dyDescent="0.25">
      <c r="A157" s="47"/>
      <c r="B157" s="1" t="s">
        <v>128</v>
      </c>
      <c r="C157" s="1" t="s">
        <v>12</v>
      </c>
      <c r="D157" s="1">
        <v>0.36</v>
      </c>
      <c r="E157" s="28"/>
      <c r="F157" s="28"/>
    </row>
    <row r="158" spans="1:6" x14ac:dyDescent="0.25">
      <c r="A158" s="47"/>
      <c r="B158" s="1" t="s">
        <v>104</v>
      </c>
      <c r="C158" s="1" t="s">
        <v>40</v>
      </c>
      <c r="D158" s="1">
        <v>0.2</v>
      </c>
      <c r="E158" s="28"/>
      <c r="F158" s="28"/>
    </row>
    <row r="159" spans="1:6" x14ac:dyDescent="0.25">
      <c r="A159" s="47"/>
      <c r="B159" s="1" t="s">
        <v>103</v>
      </c>
      <c r="C159" s="1"/>
      <c r="D159" s="1">
        <v>0.1</v>
      </c>
      <c r="E159" s="28"/>
      <c r="F159" s="28"/>
    </row>
    <row r="160" spans="1:6" x14ac:dyDescent="0.25">
      <c r="A160" s="34" t="s">
        <v>20</v>
      </c>
      <c r="B160" s="35"/>
      <c r="C160" s="36"/>
      <c r="D160" s="1">
        <f>SUM(D152:D159)</f>
        <v>7.1800000000000006</v>
      </c>
      <c r="E160" s="28"/>
      <c r="F160" s="28"/>
    </row>
    <row r="162" spans="1:6" x14ac:dyDescent="0.25">
      <c r="A162" s="41" t="s">
        <v>129</v>
      </c>
      <c r="B162" s="1" t="s">
        <v>1</v>
      </c>
      <c r="C162" s="1" t="s">
        <v>78</v>
      </c>
      <c r="D162" s="1" t="s">
        <v>3</v>
      </c>
      <c r="E162" s="1" t="s">
        <v>4</v>
      </c>
      <c r="F162" s="1" t="s">
        <v>5</v>
      </c>
    </row>
    <row r="163" spans="1:6" x14ac:dyDescent="0.25">
      <c r="A163" s="42"/>
      <c r="B163" s="1" t="s">
        <v>130</v>
      </c>
      <c r="C163" s="2" t="s">
        <v>115</v>
      </c>
      <c r="D163" s="1">
        <v>18</v>
      </c>
      <c r="E163" s="28" t="s">
        <v>131</v>
      </c>
      <c r="F163" s="28">
        <v>2.4</v>
      </c>
    </row>
    <row r="164" spans="1:6" x14ac:dyDescent="0.25">
      <c r="A164" s="42"/>
      <c r="B164" s="1" t="s">
        <v>54</v>
      </c>
      <c r="C164" s="6" t="s">
        <v>81</v>
      </c>
      <c r="D164" s="1"/>
      <c r="E164" s="28"/>
      <c r="F164" s="28"/>
    </row>
    <row r="165" spans="1:6" x14ac:dyDescent="0.25">
      <c r="A165" s="42"/>
      <c r="B165" s="1" t="s">
        <v>97</v>
      </c>
      <c r="C165" s="6" t="s">
        <v>132</v>
      </c>
      <c r="D165" s="1"/>
      <c r="E165" s="28"/>
      <c r="F165" s="28"/>
    </row>
    <row r="166" spans="1:6" x14ac:dyDescent="0.25">
      <c r="A166" s="42"/>
      <c r="B166" s="1" t="s">
        <v>65</v>
      </c>
      <c r="C166" s="6" t="s">
        <v>81</v>
      </c>
      <c r="D166" s="1"/>
      <c r="E166" s="28"/>
      <c r="F166" s="28"/>
    </row>
    <row r="167" spans="1:6" x14ac:dyDescent="0.25">
      <c r="A167" s="42"/>
      <c r="B167" s="1" t="s">
        <v>133</v>
      </c>
      <c r="C167" s="1" t="s">
        <v>52</v>
      </c>
      <c r="D167" s="1">
        <v>0.57999999999999996</v>
      </c>
      <c r="E167" s="28"/>
      <c r="F167" s="28"/>
    </row>
    <row r="168" spans="1:6" x14ac:dyDescent="0.25">
      <c r="A168" s="42"/>
      <c r="B168" s="1" t="s">
        <v>134</v>
      </c>
      <c r="C168" s="1" t="s">
        <v>12</v>
      </c>
      <c r="D168" s="1">
        <v>0.435</v>
      </c>
      <c r="E168" s="28"/>
      <c r="F168" s="28"/>
    </row>
    <row r="169" spans="1:6" x14ac:dyDescent="0.25">
      <c r="A169" s="42"/>
      <c r="B169" s="1" t="s">
        <v>135</v>
      </c>
      <c r="C169" s="1" t="s">
        <v>136</v>
      </c>
      <c r="D169" s="1">
        <v>0.5</v>
      </c>
      <c r="E169" s="28"/>
      <c r="F169" s="28"/>
    </row>
    <row r="170" spans="1:6" x14ac:dyDescent="0.25">
      <c r="A170" s="42"/>
      <c r="B170" s="1" t="s">
        <v>117</v>
      </c>
      <c r="C170" s="1" t="s">
        <v>18</v>
      </c>
      <c r="D170" s="1">
        <v>0.13500000000000001</v>
      </c>
      <c r="E170" s="28"/>
      <c r="F170" s="28"/>
    </row>
    <row r="171" spans="1:6" x14ac:dyDescent="0.25">
      <c r="A171" s="42"/>
      <c r="B171" s="1" t="s">
        <v>104</v>
      </c>
      <c r="C171" s="1" t="s">
        <v>40</v>
      </c>
      <c r="D171" s="1">
        <v>0.2</v>
      </c>
      <c r="E171" s="28"/>
      <c r="F171" s="28"/>
    </row>
    <row r="172" spans="1:6" x14ac:dyDescent="0.25">
      <c r="A172" s="42"/>
      <c r="B172" s="1" t="s">
        <v>59</v>
      </c>
      <c r="C172" s="1" t="s">
        <v>35</v>
      </c>
      <c r="D172" s="1">
        <v>0.2</v>
      </c>
      <c r="E172" s="28"/>
      <c r="F172" s="28"/>
    </row>
    <row r="173" spans="1:6" x14ac:dyDescent="0.25">
      <c r="A173" s="42"/>
      <c r="B173" s="1" t="s">
        <v>69</v>
      </c>
      <c r="C173" s="1" t="s">
        <v>12</v>
      </c>
      <c r="D173" s="1">
        <v>0.3</v>
      </c>
      <c r="E173" s="28"/>
      <c r="F173" s="28"/>
    </row>
    <row r="174" spans="1:6" x14ac:dyDescent="0.25">
      <c r="A174" s="42"/>
      <c r="B174" s="1" t="s">
        <v>103</v>
      </c>
      <c r="C174" s="1"/>
      <c r="D174" s="1">
        <v>0.7</v>
      </c>
      <c r="E174" s="28"/>
      <c r="F174" s="28"/>
    </row>
    <row r="175" spans="1:6" x14ac:dyDescent="0.25">
      <c r="A175" s="42"/>
      <c r="B175" s="1" t="s">
        <v>119</v>
      </c>
      <c r="C175" s="1" t="s">
        <v>81</v>
      </c>
      <c r="D175" s="1"/>
      <c r="E175" s="28"/>
      <c r="F175" s="28"/>
    </row>
    <row r="176" spans="1:6" x14ac:dyDescent="0.25">
      <c r="A176" s="42"/>
      <c r="B176" s="12" t="s">
        <v>92</v>
      </c>
      <c r="C176" s="12" t="s">
        <v>137</v>
      </c>
      <c r="D176" s="12">
        <v>0.15</v>
      </c>
      <c r="E176" s="28"/>
      <c r="F176" s="28"/>
    </row>
    <row r="177" spans="1:6" x14ac:dyDescent="0.25">
      <c r="A177" s="34" t="s">
        <v>20</v>
      </c>
      <c r="B177" s="35"/>
      <c r="C177" s="36"/>
      <c r="D177" s="1">
        <f>SUM(D163:D176)</f>
        <v>21.199999999999996</v>
      </c>
      <c r="E177" s="28"/>
      <c r="F177" s="28"/>
    </row>
    <row r="179" spans="1:6" x14ac:dyDescent="0.25">
      <c r="A179" s="43" t="s">
        <v>138</v>
      </c>
      <c r="B179" s="1" t="s">
        <v>1</v>
      </c>
      <c r="C179" s="1" t="s">
        <v>78</v>
      </c>
      <c r="D179" s="1" t="s">
        <v>3</v>
      </c>
      <c r="E179" s="1" t="s">
        <v>4</v>
      </c>
      <c r="F179" s="1" t="s">
        <v>5</v>
      </c>
    </row>
    <row r="180" spans="1:6" x14ac:dyDescent="0.25">
      <c r="A180" s="44"/>
      <c r="B180" s="1" t="s">
        <v>130</v>
      </c>
      <c r="C180" s="2" t="s">
        <v>115</v>
      </c>
      <c r="D180" s="1">
        <v>18</v>
      </c>
      <c r="E180" s="38" t="s">
        <v>139</v>
      </c>
      <c r="F180" s="38">
        <v>2.2999999999999998</v>
      </c>
    </row>
    <row r="181" spans="1:6" x14ac:dyDescent="0.25">
      <c r="A181" s="44"/>
      <c r="B181" s="1" t="s">
        <v>54</v>
      </c>
      <c r="C181" s="6" t="s">
        <v>81</v>
      </c>
      <c r="D181" s="1"/>
      <c r="E181" s="39"/>
      <c r="F181" s="39"/>
    </row>
    <row r="182" spans="1:6" x14ac:dyDescent="0.25">
      <c r="A182" s="44"/>
      <c r="B182" s="1" t="s">
        <v>97</v>
      </c>
      <c r="C182" s="6" t="s">
        <v>132</v>
      </c>
      <c r="D182" s="1"/>
      <c r="E182" s="39"/>
      <c r="F182" s="39"/>
    </row>
    <row r="183" spans="1:6" x14ac:dyDescent="0.25">
      <c r="A183" s="44"/>
      <c r="B183" s="1" t="s">
        <v>65</v>
      </c>
      <c r="C183" s="6" t="s">
        <v>81</v>
      </c>
      <c r="D183" s="1"/>
      <c r="E183" s="39"/>
      <c r="F183" s="39"/>
    </row>
    <row r="184" spans="1:6" x14ac:dyDescent="0.25">
      <c r="A184" s="44"/>
      <c r="B184" s="1" t="s">
        <v>133</v>
      </c>
      <c r="C184" s="1" t="s">
        <v>52</v>
      </c>
      <c r="D184" s="1">
        <v>0.57999999999999996</v>
      </c>
      <c r="E184" s="39"/>
      <c r="F184" s="39"/>
    </row>
    <row r="185" spans="1:6" x14ac:dyDescent="0.25">
      <c r="A185" s="44"/>
      <c r="B185" s="1" t="s">
        <v>134</v>
      </c>
      <c r="C185" s="1" t="s">
        <v>12</v>
      </c>
      <c r="D185" s="1">
        <v>0.435</v>
      </c>
      <c r="E185" s="39"/>
      <c r="F185" s="39"/>
    </row>
    <row r="186" spans="1:6" x14ac:dyDescent="0.25">
      <c r="A186" s="44"/>
      <c r="B186" s="1" t="s">
        <v>135</v>
      </c>
      <c r="C186" s="1" t="s">
        <v>136</v>
      </c>
      <c r="D186" s="1">
        <v>0.5</v>
      </c>
      <c r="E186" s="39"/>
      <c r="F186" s="39"/>
    </row>
    <row r="187" spans="1:6" x14ac:dyDescent="0.25">
      <c r="A187" s="44"/>
      <c r="B187" s="1" t="s">
        <v>117</v>
      </c>
      <c r="C187" s="1" t="s">
        <v>18</v>
      </c>
      <c r="D187" s="1">
        <v>0.13500000000000001</v>
      </c>
      <c r="E187" s="39"/>
      <c r="F187" s="39"/>
    </row>
    <row r="188" spans="1:6" x14ac:dyDescent="0.25">
      <c r="A188" s="44"/>
      <c r="B188" s="1" t="s">
        <v>104</v>
      </c>
      <c r="C188" s="1" t="s">
        <v>40</v>
      </c>
      <c r="D188" s="1">
        <v>0.2</v>
      </c>
      <c r="E188" s="39"/>
      <c r="F188" s="39"/>
    </row>
    <row r="189" spans="1:6" x14ac:dyDescent="0.25">
      <c r="A189" s="44"/>
      <c r="B189" s="1" t="s">
        <v>59</v>
      </c>
      <c r="C189" s="1" t="s">
        <v>14</v>
      </c>
      <c r="D189" s="1">
        <v>0.2</v>
      </c>
      <c r="E189" s="39"/>
      <c r="F189" s="39"/>
    </row>
    <row r="190" spans="1:6" x14ac:dyDescent="0.25">
      <c r="A190" s="44"/>
      <c r="B190" s="1" t="s">
        <v>69</v>
      </c>
      <c r="C190" s="1" t="s">
        <v>52</v>
      </c>
      <c r="D190" s="1">
        <v>0.3</v>
      </c>
      <c r="E190" s="39"/>
      <c r="F190" s="39"/>
    </row>
    <row r="191" spans="1:6" x14ac:dyDescent="0.25">
      <c r="A191" s="44"/>
      <c r="B191" s="1" t="s">
        <v>103</v>
      </c>
      <c r="C191" s="1"/>
      <c r="D191" s="1">
        <v>0.7</v>
      </c>
      <c r="E191" s="39"/>
      <c r="F191" s="39"/>
    </row>
    <row r="192" spans="1:6" x14ac:dyDescent="0.25">
      <c r="A192" s="44"/>
      <c r="B192" s="1" t="s">
        <v>119</v>
      </c>
      <c r="C192" s="1" t="s">
        <v>81</v>
      </c>
      <c r="D192" s="1"/>
      <c r="E192" s="39"/>
      <c r="F192" s="39"/>
    </row>
    <row r="193" spans="1:6" x14ac:dyDescent="0.25">
      <c r="A193" s="44"/>
      <c r="B193" s="1" t="s">
        <v>120</v>
      </c>
      <c r="C193" s="1"/>
      <c r="D193" s="12">
        <v>0.15</v>
      </c>
      <c r="E193" s="39"/>
      <c r="F193" s="39"/>
    </row>
    <row r="194" spans="1:6" x14ac:dyDescent="0.25">
      <c r="A194" s="45"/>
      <c r="B194" s="1" t="s">
        <v>140</v>
      </c>
      <c r="C194" s="1" t="s">
        <v>35</v>
      </c>
      <c r="D194" s="1"/>
      <c r="E194" s="39"/>
      <c r="F194" s="39"/>
    </row>
    <row r="195" spans="1:6" x14ac:dyDescent="0.25">
      <c r="A195" s="34" t="s">
        <v>20</v>
      </c>
      <c r="B195" s="35"/>
      <c r="C195" s="36"/>
      <c r="D195" s="3">
        <f>SUM(D180:D194)</f>
        <v>21.199999999999996</v>
      </c>
      <c r="E195" s="40"/>
      <c r="F195" s="40"/>
    </row>
    <row r="201" spans="1:6" x14ac:dyDescent="0.25">
      <c r="A201" s="51" t="s">
        <v>141</v>
      </c>
      <c r="B201" s="1" t="s">
        <v>1</v>
      </c>
      <c r="C201" s="1" t="s">
        <v>78</v>
      </c>
      <c r="D201" s="1" t="s">
        <v>3</v>
      </c>
      <c r="E201" s="1" t="s">
        <v>4</v>
      </c>
      <c r="F201" s="11" t="s">
        <v>5</v>
      </c>
    </row>
    <row r="202" spans="1:6" x14ac:dyDescent="0.25">
      <c r="A202" s="51"/>
      <c r="B202" s="1" t="s">
        <v>125</v>
      </c>
      <c r="C202" s="2" t="s">
        <v>18</v>
      </c>
      <c r="D202" s="1">
        <v>2.7</v>
      </c>
      <c r="E202" s="28" t="s">
        <v>142</v>
      </c>
      <c r="F202" s="28">
        <v>3.6</v>
      </c>
    </row>
    <row r="203" spans="1:6" x14ac:dyDescent="0.25">
      <c r="A203" s="51"/>
      <c r="B203" s="1" t="s">
        <v>122</v>
      </c>
      <c r="C203" s="6" t="s">
        <v>123</v>
      </c>
      <c r="D203" s="1">
        <v>0.8</v>
      </c>
      <c r="E203" s="28"/>
      <c r="F203" s="28"/>
    </row>
    <row r="204" spans="1:6" x14ac:dyDescent="0.25">
      <c r="A204" s="51"/>
      <c r="B204" s="1" t="s">
        <v>99</v>
      </c>
      <c r="C204" s="6" t="s">
        <v>143</v>
      </c>
      <c r="D204" s="1">
        <v>1</v>
      </c>
      <c r="E204" s="28"/>
      <c r="F204" s="28"/>
    </row>
    <row r="205" spans="1:6" x14ac:dyDescent="0.25">
      <c r="A205" s="51"/>
      <c r="B205" s="1" t="s">
        <v>104</v>
      </c>
      <c r="C205" s="6" t="s">
        <v>52</v>
      </c>
      <c r="D205" s="1">
        <v>0.2</v>
      </c>
      <c r="E205" s="28"/>
      <c r="F205" s="28"/>
    </row>
    <row r="206" spans="1:6" x14ac:dyDescent="0.25">
      <c r="A206" s="51"/>
      <c r="B206" s="1" t="s">
        <v>59</v>
      </c>
      <c r="C206" s="1" t="s">
        <v>144</v>
      </c>
      <c r="D206" s="1">
        <v>0.2</v>
      </c>
      <c r="E206" s="28"/>
      <c r="F206" s="28"/>
    </row>
    <row r="207" spans="1:6" x14ac:dyDescent="0.25">
      <c r="A207" s="51"/>
      <c r="B207" s="1" t="s">
        <v>72</v>
      </c>
      <c r="C207" s="1" t="s">
        <v>145</v>
      </c>
      <c r="D207" s="1">
        <v>0.5</v>
      </c>
      <c r="E207" s="28"/>
      <c r="F207" s="28"/>
    </row>
    <row r="208" spans="1:6" x14ac:dyDescent="0.25">
      <c r="A208" s="51"/>
      <c r="B208" s="1" t="s">
        <v>146</v>
      </c>
      <c r="C208" s="1" t="s">
        <v>40</v>
      </c>
      <c r="D208" s="1">
        <v>0.6</v>
      </c>
      <c r="E208" s="28"/>
      <c r="F208" s="28"/>
    </row>
    <row r="209" spans="1:6" x14ac:dyDescent="0.25">
      <c r="A209" s="51"/>
      <c r="B209" s="1" t="s">
        <v>101</v>
      </c>
      <c r="C209" s="1" t="s">
        <v>12</v>
      </c>
      <c r="D209" s="1">
        <v>2.5499999999999998</v>
      </c>
      <c r="E209" s="28"/>
      <c r="F209" s="28"/>
    </row>
    <row r="210" spans="1:6" x14ac:dyDescent="0.25">
      <c r="A210" s="51"/>
      <c r="B210" s="1" t="s">
        <v>103</v>
      </c>
      <c r="C210" s="1"/>
      <c r="D210" s="1">
        <v>0.2</v>
      </c>
      <c r="E210" s="28"/>
      <c r="F210" s="28"/>
    </row>
    <row r="211" spans="1:6" x14ac:dyDescent="0.25">
      <c r="A211" s="34" t="s">
        <v>20</v>
      </c>
      <c r="B211" s="35"/>
      <c r="C211" s="36"/>
      <c r="D211" s="3">
        <f>SUM(D202:D210)</f>
        <v>8.75</v>
      </c>
      <c r="E211" s="28"/>
      <c r="F211" s="28"/>
    </row>
    <row r="214" spans="1:6" x14ac:dyDescent="0.25">
      <c r="A214" s="52" t="s">
        <v>147</v>
      </c>
      <c r="B214" s="1" t="s">
        <v>1</v>
      </c>
      <c r="C214" s="1" t="s">
        <v>78</v>
      </c>
      <c r="D214" s="1" t="s">
        <v>3</v>
      </c>
      <c r="E214" s="1" t="s">
        <v>4</v>
      </c>
      <c r="F214" s="11" t="s">
        <v>5</v>
      </c>
    </row>
    <row r="215" spans="1:6" x14ac:dyDescent="0.25">
      <c r="A215" s="53"/>
      <c r="B215" s="1" t="s">
        <v>148</v>
      </c>
      <c r="C215" s="2" t="s">
        <v>132</v>
      </c>
      <c r="D215" s="1">
        <v>0.15</v>
      </c>
      <c r="E215" s="38" t="s">
        <v>149</v>
      </c>
      <c r="F215" s="38">
        <v>3.4</v>
      </c>
    </row>
    <row r="216" spans="1:6" x14ac:dyDescent="0.25">
      <c r="A216" s="53"/>
      <c r="B216" s="1" t="s">
        <v>150</v>
      </c>
      <c r="C216" s="6" t="s">
        <v>18</v>
      </c>
      <c r="D216" s="1">
        <v>6.75</v>
      </c>
      <c r="E216" s="39"/>
      <c r="F216" s="39"/>
    </row>
    <row r="217" spans="1:6" x14ac:dyDescent="0.25">
      <c r="A217" s="53"/>
      <c r="B217" s="1" t="s">
        <v>99</v>
      </c>
      <c r="C217" s="6" t="s">
        <v>151</v>
      </c>
      <c r="D217" s="1">
        <v>0.46</v>
      </c>
      <c r="E217" s="39"/>
      <c r="F217" s="39"/>
    </row>
    <row r="218" spans="1:6" x14ac:dyDescent="0.25">
      <c r="A218" s="53"/>
      <c r="B218" s="1" t="s">
        <v>152</v>
      </c>
      <c r="C218" s="6" t="s">
        <v>14</v>
      </c>
      <c r="D218" s="1">
        <v>0.24</v>
      </c>
      <c r="E218" s="39"/>
      <c r="F218" s="39"/>
    </row>
    <row r="219" spans="1:6" x14ac:dyDescent="0.25">
      <c r="A219" s="53"/>
      <c r="B219" s="1" t="s">
        <v>59</v>
      </c>
      <c r="C219" s="1" t="s">
        <v>144</v>
      </c>
      <c r="D219" s="1">
        <v>0.15</v>
      </c>
      <c r="E219" s="39"/>
      <c r="F219" s="39"/>
    </row>
    <row r="220" spans="1:6" x14ac:dyDescent="0.25">
      <c r="A220" s="53"/>
      <c r="B220" s="1" t="s">
        <v>119</v>
      </c>
      <c r="C220" s="1" t="s">
        <v>12</v>
      </c>
      <c r="D220" s="1">
        <v>0.15</v>
      </c>
      <c r="E220" s="39"/>
      <c r="F220" s="39"/>
    </row>
    <row r="221" spans="1:6" x14ac:dyDescent="0.25">
      <c r="A221" s="53"/>
      <c r="B221" s="1" t="s">
        <v>69</v>
      </c>
      <c r="C221" s="1" t="s">
        <v>52</v>
      </c>
      <c r="D221" s="1">
        <v>0.4</v>
      </c>
      <c r="E221" s="39"/>
      <c r="F221" s="39"/>
    </row>
    <row r="222" spans="1:6" x14ac:dyDescent="0.25">
      <c r="A222" s="53"/>
      <c r="B222" s="1" t="s">
        <v>104</v>
      </c>
      <c r="C222" s="1" t="s">
        <v>40</v>
      </c>
      <c r="D222" s="1">
        <v>0.2</v>
      </c>
      <c r="E222" s="39"/>
      <c r="F222" s="39"/>
    </row>
    <row r="223" spans="1:6" x14ac:dyDescent="0.25">
      <c r="A223" s="53"/>
      <c r="B223" s="1" t="s">
        <v>101</v>
      </c>
      <c r="C223" s="1" t="s">
        <v>14</v>
      </c>
      <c r="D223" s="1">
        <v>1.7</v>
      </c>
      <c r="E223" s="39"/>
      <c r="F223" s="39"/>
    </row>
    <row r="224" spans="1:6" x14ac:dyDescent="0.25">
      <c r="A224" s="53"/>
      <c r="B224" s="1" t="s">
        <v>103</v>
      </c>
      <c r="C224" s="1"/>
      <c r="D224" s="1">
        <v>0.7</v>
      </c>
      <c r="E224" s="39"/>
      <c r="F224" s="39"/>
    </row>
    <row r="225" spans="1:6" x14ac:dyDescent="0.25">
      <c r="A225" s="54"/>
      <c r="B225" s="1" t="s">
        <v>120</v>
      </c>
      <c r="C225" s="1"/>
      <c r="D225" s="1"/>
      <c r="E225" s="39"/>
      <c r="F225" s="39"/>
    </row>
    <row r="226" spans="1:6" x14ac:dyDescent="0.25">
      <c r="A226" s="34" t="s">
        <v>20</v>
      </c>
      <c r="B226" s="35"/>
      <c r="C226" s="36"/>
      <c r="D226" s="3">
        <f>SUM(D215:D225)</f>
        <v>10.899999999999999</v>
      </c>
      <c r="E226" s="40"/>
      <c r="F226" s="40"/>
    </row>
    <row r="228" spans="1:6" x14ac:dyDescent="0.25">
      <c r="A228" s="48" t="s">
        <v>153</v>
      </c>
      <c r="B228" s="1" t="s">
        <v>1</v>
      </c>
      <c r="C228" s="1" t="s">
        <v>78</v>
      </c>
      <c r="D228" s="1" t="s">
        <v>3</v>
      </c>
      <c r="E228" s="1" t="s">
        <v>4</v>
      </c>
      <c r="F228" s="11" t="s">
        <v>5</v>
      </c>
    </row>
    <row r="229" spans="1:6" x14ac:dyDescent="0.25">
      <c r="A229" s="49"/>
      <c r="B229" s="1" t="s">
        <v>154</v>
      </c>
      <c r="C229" s="2" t="s">
        <v>155</v>
      </c>
      <c r="D229" s="1">
        <v>4.5999999999999996</v>
      </c>
      <c r="E229" s="28" t="s">
        <v>156</v>
      </c>
      <c r="F229" s="28">
        <v>3.4</v>
      </c>
    </row>
    <row r="230" spans="1:6" x14ac:dyDescent="0.25">
      <c r="A230" s="49"/>
      <c r="B230" s="1" t="s">
        <v>127</v>
      </c>
      <c r="C230" s="6" t="s">
        <v>144</v>
      </c>
      <c r="D230" s="1">
        <v>0.1</v>
      </c>
      <c r="E230" s="28"/>
      <c r="F230" s="28"/>
    </row>
    <row r="231" spans="1:6" x14ac:dyDescent="0.25">
      <c r="A231" s="49"/>
      <c r="B231" s="1" t="s">
        <v>104</v>
      </c>
      <c r="C231" s="6" t="s">
        <v>40</v>
      </c>
      <c r="D231" s="1">
        <v>0.2</v>
      </c>
      <c r="E231" s="28"/>
      <c r="F231" s="28"/>
    </row>
    <row r="232" spans="1:6" x14ac:dyDescent="0.25">
      <c r="A232" s="49"/>
      <c r="B232" s="1" t="s">
        <v>157</v>
      </c>
      <c r="C232" s="6" t="s">
        <v>144</v>
      </c>
      <c r="D232" s="1">
        <v>0.85</v>
      </c>
      <c r="E232" s="28"/>
      <c r="F232" s="28"/>
    </row>
    <row r="233" spans="1:6" x14ac:dyDescent="0.25">
      <c r="A233" s="49"/>
      <c r="B233" s="1" t="s">
        <v>103</v>
      </c>
      <c r="C233" s="1"/>
      <c r="D233" s="1">
        <v>0.2</v>
      </c>
      <c r="E233" s="28"/>
      <c r="F233" s="28"/>
    </row>
    <row r="234" spans="1:6" x14ac:dyDescent="0.25">
      <c r="A234" s="50"/>
      <c r="B234" s="1" t="s">
        <v>99</v>
      </c>
      <c r="C234" s="1" t="s">
        <v>100</v>
      </c>
      <c r="D234" s="1">
        <v>0.35</v>
      </c>
      <c r="E234" s="28"/>
      <c r="F234" s="28"/>
    </row>
    <row r="235" spans="1:6" x14ac:dyDescent="0.25">
      <c r="A235" s="34" t="s">
        <v>20</v>
      </c>
      <c r="B235" s="35"/>
      <c r="C235" s="36"/>
      <c r="D235" s="3">
        <f>SUM(D229:D234)</f>
        <v>6.2999999999999989</v>
      </c>
      <c r="E235" s="28"/>
      <c r="F235" s="28"/>
    </row>
    <row r="237" spans="1:6" x14ac:dyDescent="0.25">
      <c r="A237" s="17" t="s">
        <v>158</v>
      </c>
      <c r="B237" s="1" t="s">
        <v>1</v>
      </c>
      <c r="C237" s="1" t="s">
        <v>78</v>
      </c>
      <c r="D237" s="1" t="s">
        <v>3</v>
      </c>
      <c r="E237" s="1" t="s">
        <v>4</v>
      </c>
      <c r="F237" s="11" t="s">
        <v>5</v>
      </c>
    </row>
    <row r="238" spans="1:6" x14ac:dyDescent="0.25">
      <c r="A238" s="18"/>
      <c r="B238" s="1" t="s">
        <v>159</v>
      </c>
      <c r="C238" s="2" t="s">
        <v>155</v>
      </c>
      <c r="D238" s="1">
        <v>4.5999999999999996</v>
      </c>
      <c r="E238" s="38" t="s">
        <v>160</v>
      </c>
      <c r="F238" s="38">
        <v>3.4</v>
      </c>
    </row>
    <row r="239" spans="1:6" x14ac:dyDescent="0.25">
      <c r="A239" s="18"/>
      <c r="B239" s="1" t="s">
        <v>119</v>
      </c>
      <c r="C239" s="6" t="s">
        <v>52</v>
      </c>
      <c r="D239" s="1">
        <v>0.2</v>
      </c>
      <c r="E239" s="39"/>
      <c r="F239" s="39"/>
    </row>
    <row r="240" spans="1:6" x14ac:dyDescent="0.25">
      <c r="A240" s="18"/>
      <c r="B240" s="1" t="s">
        <v>104</v>
      </c>
      <c r="C240" s="6" t="s">
        <v>40</v>
      </c>
      <c r="D240" s="1">
        <v>0.2</v>
      </c>
      <c r="E240" s="39"/>
      <c r="F240" s="39"/>
    </row>
    <row r="241" spans="1:6" x14ac:dyDescent="0.25">
      <c r="A241" s="18"/>
      <c r="B241" s="1" t="s">
        <v>157</v>
      </c>
      <c r="C241" s="6" t="s">
        <v>144</v>
      </c>
      <c r="D241" s="1">
        <v>0.85</v>
      </c>
      <c r="E241" s="39"/>
      <c r="F241" s="39"/>
    </row>
    <row r="242" spans="1:6" x14ac:dyDescent="0.25">
      <c r="A242" s="18"/>
      <c r="B242" s="1" t="s">
        <v>103</v>
      </c>
      <c r="C242" s="1"/>
      <c r="D242" s="1"/>
      <c r="E242" s="39"/>
      <c r="F242" s="39"/>
    </row>
    <row r="243" spans="1:6" x14ac:dyDescent="0.25">
      <c r="A243" s="18"/>
      <c r="B243" s="1" t="s">
        <v>120</v>
      </c>
      <c r="C243" s="1"/>
      <c r="D243" s="1">
        <v>0.7</v>
      </c>
      <c r="E243" s="39"/>
      <c r="F243" s="39"/>
    </row>
    <row r="244" spans="1:6" x14ac:dyDescent="0.25">
      <c r="A244" s="18"/>
      <c r="B244" s="1" t="s">
        <v>59</v>
      </c>
      <c r="C244" s="1" t="s">
        <v>144</v>
      </c>
      <c r="D244" s="1"/>
      <c r="E244" s="39"/>
      <c r="F244" s="39"/>
    </row>
    <row r="245" spans="1:6" x14ac:dyDescent="0.25">
      <c r="A245" s="18"/>
      <c r="B245" s="1" t="s">
        <v>69</v>
      </c>
      <c r="C245" s="1" t="s">
        <v>12</v>
      </c>
      <c r="D245" s="1">
        <v>0.3</v>
      </c>
      <c r="E245" s="39"/>
      <c r="F245" s="39"/>
    </row>
    <row r="246" spans="1:6" x14ac:dyDescent="0.25">
      <c r="A246" s="34" t="s">
        <v>20</v>
      </c>
      <c r="B246" s="35"/>
      <c r="C246" s="36"/>
      <c r="D246" s="3">
        <f>SUM(D238:D245)</f>
        <v>6.85</v>
      </c>
      <c r="E246" s="40"/>
      <c r="F246" s="40"/>
    </row>
    <row r="251" spans="1:6" x14ac:dyDescent="0.25">
      <c r="A251" s="51" t="s">
        <v>161</v>
      </c>
      <c r="B251" s="1" t="s">
        <v>1</v>
      </c>
      <c r="C251" s="1" t="s">
        <v>78</v>
      </c>
      <c r="D251" s="1" t="s">
        <v>3</v>
      </c>
      <c r="E251" s="1" t="s">
        <v>4</v>
      </c>
      <c r="F251" s="11" t="s">
        <v>5</v>
      </c>
    </row>
    <row r="252" spans="1:6" x14ac:dyDescent="0.25">
      <c r="A252" s="51"/>
      <c r="B252" s="1" t="s">
        <v>162</v>
      </c>
      <c r="C252" s="2" t="s">
        <v>155</v>
      </c>
      <c r="D252" s="1">
        <v>5.85</v>
      </c>
      <c r="E252" s="38" t="s">
        <v>108</v>
      </c>
      <c r="F252" s="38">
        <v>3.2</v>
      </c>
    </row>
    <row r="253" spans="1:6" x14ac:dyDescent="0.25">
      <c r="A253" s="51"/>
      <c r="B253" s="1" t="s">
        <v>69</v>
      </c>
      <c r="C253" s="6" t="s">
        <v>144</v>
      </c>
      <c r="D253" s="1">
        <v>0.1</v>
      </c>
      <c r="E253" s="39"/>
      <c r="F253" s="39"/>
    </row>
    <row r="254" spans="1:6" x14ac:dyDescent="0.25">
      <c r="A254" s="51"/>
      <c r="B254" s="1" t="s">
        <v>104</v>
      </c>
      <c r="C254" s="6" t="s">
        <v>40</v>
      </c>
      <c r="D254" s="1">
        <v>0.2</v>
      </c>
      <c r="E254" s="39"/>
      <c r="F254" s="39"/>
    </row>
    <row r="255" spans="1:6" x14ac:dyDescent="0.25">
      <c r="A255" s="51"/>
      <c r="B255" s="1" t="s">
        <v>59</v>
      </c>
      <c r="C255" s="6" t="s">
        <v>40</v>
      </c>
      <c r="D255" s="1">
        <v>0.2</v>
      </c>
      <c r="E255" s="39"/>
      <c r="F255" s="39"/>
    </row>
    <row r="256" spans="1:6" x14ac:dyDescent="0.25">
      <c r="A256" s="51"/>
      <c r="B256" s="1" t="s">
        <v>103</v>
      </c>
      <c r="C256" s="1"/>
      <c r="D256" s="1">
        <v>0.2</v>
      </c>
      <c r="E256" s="39"/>
      <c r="F256" s="39"/>
    </row>
    <row r="257" spans="1:6" x14ac:dyDescent="0.25">
      <c r="A257" s="51"/>
      <c r="B257" s="1" t="s">
        <v>120</v>
      </c>
      <c r="C257" s="1"/>
      <c r="D257" s="1"/>
      <c r="E257" s="39"/>
      <c r="F257" s="39"/>
    </row>
    <row r="258" spans="1:6" x14ac:dyDescent="0.25">
      <c r="A258" s="51"/>
      <c r="B258" s="1" t="s">
        <v>99</v>
      </c>
      <c r="C258" s="1" t="s">
        <v>100</v>
      </c>
      <c r="D258" s="1">
        <v>0.35</v>
      </c>
      <c r="E258" s="39"/>
      <c r="F258" s="39"/>
    </row>
    <row r="259" spans="1:6" x14ac:dyDescent="0.25">
      <c r="A259" s="51"/>
      <c r="B259" s="1" t="s">
        <v>101</v>
      </c>
      <c r="C259" s="1" t="s">
        <v>14</v>
      </c>
      <c r="D259" s="1">
        <v>1.7</v>
      </c>
      <c r="E259" s="39"/>
      <c r="F259" s="39"/>
    </row>
    <row r="260" spans="1:6" x14ac:dyDescent="0.25">
      <c r="A260" s="34" t="s">
        <v>20</v>
      </c>
      <c r="B260" s="35"/>
      <c r="C260" s="36"/>
      <c r="D260" s="3">
        <f>SUM(D252:D259)</f>
        <v>8.6</v>
      </c>
      <c r="E260" s="40"/>
      <c r="F260" s="40"/>
    </row>
    <row r="262" spans="1:6" x14ac:dyDescent="0.25">
      <c r="A262" s="58" t="s">
        <v>163</v>
      </c>
      <c r="B262" s="1" t="s">
        <v>1</v>
      </c>
      <c r="C262" s="1" t="s">
        <v>78</v>
      </c>
      <c r="D262" s="1" t="s">
        <v>3</v>
      </c>
      <c r="E262" s="1" t="s">
        <v>4</v>
      </c>
      <c r="F262" s="11" t="s">
        <v>5</v>
      </c>
    </row>
    <row r="263" spans="1:6" x14ac:dyDescent="0.25">
      <c r="A263" s="59"/>
      <c r="B263" s="1" t="s">
        <v>125</v>
      </c>
      <c r="C263" s="1" t="s">
        <v>164</v>
      </c>
      <c r="D263" s="1">
        <v>2.7</v>
      </c>
      <c r="E263" s="28" t="s">
        <v>165</v>
      </c>
      <c r="F263" s="38">
        <v>4.4000000000000004</v>
      </c>
    </row>
    <row r="264" spans="1:6" x14ac:dyDescent="0.25">
      <c r="A264" s="59"/>
      <c r="B264" s="1" t="s">
        <v>166</v>
      </c>
      <c r="C264" s="2" t="s">
        <v>132</v>
      </c>
      <c r="D264" s="1">
        <v>1</v>
      </c>
      <c r="E264" s="28"/>
      <c r="F264" s="39"/>
    </row>
    <row r="265" spans="1:6" x14ac:dyDescent="0.25">
      <c r="A265" s="59"/>
      <c r="B265" s="1" t="s">
        <v>69</v>
      </c>
      <c r="C265" s="6" t="s">
        <v>12</v>
      </c>
      <c r="D265" s="1">
        <v>0.3</v>
      </c>
      <c r="E265" s="28"/>
      <c r="F265" s="39"/>
    </row>
    <row r="266" spans="1:6" x14ac:dyDescent="0.25">
      <c r="A266" s="59"/>
      <c r="B266" s="1" t="s">
        <v>167</v>
      </c>
      <c r="C266" s="6" t="s">
        <v>12</v>
      </c>
      <c r="D266" s="1">
        <v>0.42</v>
      </c>
      <c r="E266" s="28"/>
      <c r="F266" s="39"/>
    </row>
    <row r="267" spans="1:6" x14ac:dyDescent="0.25">
      <c r="A267" s="59"/>
      <c r="B267" s="1" t="s">
        <v>59</v>
      </c>
      <c r="C267" s="6" t="s">
        <v>144</v>
      </c>
      <c r="D267" s="1">
        <v>0.1</v>
      </c>
      <c r="E267" s="28"/>
      <c r="F267" s="39"/>
    </row>
    <row r="268" spans="1:6" x14ac:dyDescent="0.25">
      <c r="A268" s="59"/>
      <c r="B268" s="1" t="s">
        <v>104</v>
      </c>
      <c r="C268" s="1" t="s">
        <v>40</v>
      </c>
      <c r="D268" s="1">
        <v>0.2</v>
      </c>
      <c r="E268" s="28"/>
      <c r="F268" s="39"/>
    </row>
    <row r="269" spans="1:6" x14ac:dyDescent="0.25">
      <c r="A269" s="59"/>
      <c r="B269" s="1" t="s">
        <v>99</v>
      </c>
      <c r="C269" s="1" t="s">
        <v>100</v>
      </c>
      <c r="D269" s="1">
        <v>0.35</v>
      </c>
      <c r="E269" s="28"/>
      <c r="F269" s="39"/>
    </row>
    <row r="270" spans="1:6" x14ac:dyDescent="0.25">
      <c r="A270" s="59"/>
      <c r="B270" s="1" t="s">
        <v>152</v>
      </c>
      <c r="C270" s="1" t="s">
        <v>14</v>
      </c>
      <c r="D270" s="1">
        <v>0.24</v>
      </c>
      <c r="E270" s="28"/>
      <c r="F270" s="39"/>
    </row>
    <row r="271" spans="1:6" x14ac:dyDescent="0.25">
      <c r="A271" s="59"/>
      <c r="B271" s="1" t="s">
        <v>127</v>
      </c>
      <c r="C271" s="1" t="s">
        <v>14</v>
      </c>
      <c r="D271" s="1">
        <v>0.2</v>
      </c>
      <c r="E271" s="28"/>
      <c r="F271" s="39"/>
    </row>
    <row r="272" spans="1:6" x14ac:dyDescent="0.25">
      <c r="A272" s="59"/>
      <c r="B272" s="1" t="s">
        <v>101</v>
      </c>
      <c r="C272" s="1" t="s">
        <v>14</v>
      </c>
      <c r="D272" s="1">
        <v>1.7</v>
      </c>
      <c r="E272" s="28"/>
      <c r="F272" s="39"/>
    </row>
    <row r="273" spans="1:6" x14ac:dyDescent="0.25">
      <c r="A273" s="59"/>
      <c r="B273" s="1" t="s">
        <v>103</v>
      </c>
      <c r="C273" s="1"/>
      <c r="D273" s="1">
        <v>0.5</v>
      </c>
      <c r="E273" s="28"/>
      <c r="F273" s="39"/>
    </row>
    <row r="274" spans="1:6" x14ac:dyDescent="0.25">
      <c r="A274" s="60"/>
      <c r="B274" s="1" t="s">
        <v>120</v>
      </c>
      <c r="C274" s="1"/>
      <c r="D274" s="1"/>
      <c r="E274" s="28"/>
      <c r="F274" s="39"/>
    </row>
    <row r="275" spans="1:6" x14ac:dyDescent="0.25">
      <c r="A275" s="34" t="s">
        <v>168</v>
      </c>
      <c r="B275" s="35"/>
      <c r="C275" s="36"/>
      <c r="D275" s="3">
        <f>SUM(D263:D273)</f>
        <v>7.71</v>
      </c>
      <c r="E275" s="28"/>
      <c r="F275" s="40"/>
    </row>
    <row r="277" spans="1:6" x14ac:dyDescent="0.25">
      <c r="A277" s="52" t="s">
        <v>169</v>
      </c>
      <c r="B277" s="1" t="s">
        <v>1</v>
      </c>
      <c r="C277" s="1" t="s">
        <v>78</v>
      </c>
      <c r="D277" s="1" t="s">
        <v>3</v>
      </c>
      <c r="E277" s="1" t="s">
        <v>4</v>
      </c>
      <c r="F277" s="11" t="s">
        <v>5</v>
      </c>
    </row>
    <row r="278" spans="1:6" x14ac:dyDescent="0.25">
      <c r="A278" s="53"/>
      <c r="B278" s="1" t="s">
        <v>166</v>
      </c>
      <c r="C278" s="2" t="s">
        <v>132</v>
      </c>
      <c r="D278" s="1">
        <v>1</v>
      </c>
      <c r="E278" s="28" t="s">
        <v>170</v>
      </c>
      <c r="F278" s="38">
        <v>2.1</v>
      </c>
    </row>
    <row r="279" spans="1:6" x14ac:dyDescent="0.25">
      <c r="A279" s="53"/>
      <c r="B279" s="1" t="s">
        <v>130</v>
      </c>
      <c r="C279" s="2" t="s">
        <v>115</v>
      </c>
      <c r="D279" s="1"/>
      <c r="E279" s="28"/>
      <c r="F279" s="39"/>
    </row>
    <row r="280" spans="1:6" x14ac:dyDescent="0.25">
      <c r="A280" s="53"/>
      <c r="B280" s="1" t="s">
        <v>54</v>
      </c>
      <c r="C280" s="6" t="s">
        <v>81</v>
      </c>
      <c r="D280" s="1">
        <v>18</v>
      </c>
      <c r="E280" s="28"/>
      <c r="F280" s="39"/>
    </row>
    <row r="281" spans="1:6" x14ac:dyDescent="0.25">
      <c r="A281" s="53"/>
      <c r="B281" s="1" t="s">
        <v>97</v>
      </c>
      <c r="C281" s="6" t="s">
        <v>132</v>
      </c>
      <c r="D281" s="1"/>
      <c r="E281" s="28"/>
      <c r="F281" s="39"/>
    </row>
    <row r="282" spans="1:6" x14ac:dyDescent="0.25">
      <c r="A282" s="53"/>
      <c r="B282" s="1" t="s">
        <v>65</v>
      </c>
      <c r="C282" s="6" t="s">
        <v>81</v>
      </c>
      <c r="D282" s="1"/>
      <c r="E282" s="28"/>
      <c r="F282" s="39"/>
    </row>
    <row r="283" spans="1:6" x14ac:dyDescent="0.25">
      <c r="A283" s="53"/>
      <c r="B283" s="1" t="s">
        <v>171</v>
      </c>
      <c r="C283" s="1" t="s">
        <v>52</v>
      </c>
      <c r="D283" s="1">
        <v>0.57999999999999996</v>
      </c>
      <c r="E283" s="28"/>
      <c r="F283" s="39"/>
    </row>
    <row r="284" spans="1:6" x14ac:dyDescent="0.25">
      <c r="A284" s="53"/>
      <c r="B284" s="1" t="s">
        <v>134</v>
      </c>
      <c r="C284" s="1" t="s">
        <v>12</v>
      </c>
      <c r="D284" s="1">
        <v>0.435</v>
      </c>
      <c r="E284" s="28"/>
      <c r="F284" s="39"/>
    </row>
    <row r="285" spans="1:6" x14ac:dyDescent="0.25">
      <c r="A285" s="53"/>
      <c r="B285" s="1" t="s">
        <v>99</v>
      </c>
      <c r="C285" s="1" t="s">
        <v>143</v>
      </c>
      <c r="D285" s="1">
        <v>1</v>
      </c>
      <c r="E285" s="28"/>
      <c r="F285" s="39"/>
    </row>
    <row r="286" spans="1:6" x14ac:dyDescent="0.25">
      <c r="A286" s="53"/>
      <c r="B286" s="1" t="s">
        <v>127</v>
      </c>
      <c r="C286" s="1" t="s">
        <v>12</v>
      </c>
      <c r="D286" s="1">
        <v>0.3</v>
      </c>
      <c r="E286" s="28"/>
      <c r="F286" s="39"/>
    </row>
    <row r="287" spans="1:6" x14ac:dyDescent="0.25">
      <c r="A287" s="53"/>
      <c r="B287" s="1" t="s">
        <v>101</v>
      </c>
      <c r="C287" s="1" t="s">
        <v>14</v>
      </c>
      <c r="D287" s="1">
        <v>1.7</v>
      </c>
      <c r="E287" s="28"/>
      <c r="F287" s="39"/>
    </row>
    <row r="288" spans="1:6" x14ac:dyDescent="0.25">
      <c r="A288" s="53"/>
      <c r="B288" s="1" t="s">
        <v>104</v>
      </c>
      <c r="C288" s="1" t="s">
        <v>40</v>
      </c>
      <c r="D288" s="1">
        <v>0.2</v>
      </c>
      <c r="E288" s="28"/>
      <c r="F288" s="39"/>
    </row>
    <row r="289" spans="1:6" x14ac:dyDescent="0.25">
      <c r="A289" s="54"/>
      <c r="B289" s="1" t="s">
        <v>103</v>
      </c>
      <c r="C289" s="1"/>
      <c r="D289" s="1">
        <v>0.2</v>
      </c>
      <c r="E289" s="28"/>
      <c r="F289" s="39"/>
    </row>
    <row r="290" spans="1:6" x14ac:dyDescent="0.25">
      <c r="A290" s="34" t="s">
        <v>168</v>
      </c>
      <c r="B290" s="35"/>
      <c r="C290" s="36"/>
      <c r="D290" s="3">
        <f>SUM(D278:D289)</f>
        <v>23.414999999999996</v>
      </c>
      <c r="E290" s="28"/>
      <c r="F290" s="40"/>
    </row>
    <row r="301" spans="1:6" x14ac:dyDescent="0.25">
      <c r="A301" s="55" t="s">
        <v>172</v>
      </c>
      <c r="B301" s="1" t="s">
        <v>1</v>
      </c>
      <c r="C301" s="1" t="s">
        <v>78</v>
      </c>
      <c r="D301" s="1" t="s">
        <v>3</v>
      </c>
      <c r="E301" s="1" t="s">
        <v>4</v>
      </c>
      <c r="F301" s="11" t="s">
        <v>5</v>
      </c>
    </row>
    <row r="302" spans="1:6" x14ac:dyDescent="0.25">
      <c r="A302" s="56"/>
      <c r="B302" s="1" t="s">
        <v>166</v>
      </c>
      <c r="C302" s="2" t="s">
        <v>132</v>
      </c>
      <c r="D302" s="1">
        <v>1</v>
      </c>
      <c r="E302" s="28" t="s">
        <v>173</v>
      </c>
      <c r="F302" s="28">
        <v>2.2999999999999998</v>
      </c>
    </row>
    <row r="303" spans="1:6" x14ac:dyDescent="0.25">
      <c r="A303" s="56"/>
      <c r="B303" s="1" t="s">
        <v>54</v>
      </c>
      <c r="C303" s="6" t="s">
        <v>32</v>
      </c>
      <c r="D303" s="1">
        <v>13</v>
      </c>
      <c r="E303" s="28"/>
      <c r="F303" s="28"/>
    </row>
    <row r="304" spans="1:6" x14ac:dyDescent="0.25">
      <c r="A304" s="56"/>
      <c r="B304" s="1" t="s">
        <v>69</v>
      </c>
      <c r="C304" s="6" t="s">
        <v>12</v>
      </c>
      <c r="D304" s="1">
        <v>0.3</v>
      </c>
      <c r="E304" s="28"/>
      <c r="F304" s="28"/>
    </row>
    <row r="305" spans="1:6" x14ac:dyDescent="0.25">
      <c r="A305" s="56"/>
      <c r="B305" s="1" t="s">
        <v>104</v>
      </c>
      <c r="C305" s="1" t="s">
        <v>52</v>
      </c>
      <c r="D305" s="1">
        <v>0.5</v>
      </c>
      <c r="E305" s="28"/>
      <c r="F305" s="28"/>
    </row>
    <row r="306" spans="1:6" x14ac:dyDescent="0.25">
      <c r="A306" s="56"/>
      <c r="B306" s="1" t="s">
        <v>59</v>
      </c>
      <c r="C306" s="1" t="s">
        <v>144</v>
      </c>
      <c r="D306" s="1">
        <v>0.1</v>
      </c>
      <c r="E306" s="28"/>
      <c r="F306" s="28"/>
    </row>
    <row r="307" spans="1:6" x14ac:dyDescent="0.25">
      <c r="A307" s="56"/>
      <c r="B307" s="1" t="s">
        <v>101</v>
      </c>
      <c r="C307" s="1" t="s">
        <v>14</v>
      </c>
      <c r="D307" s="1">
        <v>1.7</v>
      </c>
      <c r="E307" s="28"/>
      <c r="F307" s="28"/>
    </row>
    <row r="308" spans="1:6" x14ac:dyDescent="0.25">
      <c r="A308" s="56"/>
      <c r="B308" s="1" t="s">
        <v>127</v>
      </c>
      <c r="C308" s="1" t="s">
        <v>12</v>
      </c>
      <c r="D308" s="1">
        <v>0.3</v>
      </c>
      <c r="E308" s="28"/>
      <c r="F308" s="28"/>
    </row>
    <row r="309" spans="1:6" x14ac:dyDescent="0.25">
      <c r="A309" s="56"/>
      <c r="B309" s="1" t="s">
        <v>72</v>
      </c>
      <c r="C309" s="1" t="s">
        <v>145</v>
      </c>
      <c r="D309" s="1">
        <v>0.5</v>
      </c>
      <c r="E309" s="28"/>
      <c r="F309" s="28"/>
    </row>
    <row r="310" spans="1:6" x14ac:dyDescent="0.25">
      <c r="A310" s="56"/>
      <c r="B310" s="1" t="s">
        <v>146</v>
      </c>
      <c r="C310" s="1" t="s">
        <v>40</v>
      </c>
      <c r="D310" s="1">
        <v>0.6</v>
      </c>
      <c r="E310" s="28"/>
      <c r="F310" s="28"/>
    </row>
    <row r="311" spans="1:6" x14ac:dyDescent="0.25">
      <c r="A311" s="56"/>
      <c r="B311" s="1" t="s">
        <v>174</v>
      </c>
      <c r="C311" s="1" t="s">
        <v>144</v>
      </c>
      <c r="D311" s="1">
        <v>1</v>
      </c>
      <c r="E311" s="28"/>
      <c r="F311" s="28"/>
    </row>
    <row r="312" spans="1:6" x14ac:dyDescent="0.25">
      <c r="A312" s="57"/>
      <c r="B312" s="1" t="s">
        <v>103</v>
      </c>
      <c r="C312" s="1"/>
      <c r="D312" s="1">
        <v>0.2</v>
      </c>
      <c r="E312" s="28"/>
      <c r="F312" s="28"/>
    </row>
    <row r="313" spans="1:6" x14ac:dyDescent="0.25">
      <c r="A313" s="34" t="s">
        <v>168</v>
      </c>
      <c r="B313" s="35"/>
      <c r="C313" s="36"/>
      <c r="D313" s="3">
        <f>SUM(D302:D312)</f>
        <v>19.200000000000003</v>
      </c>
      <c r="E313" s="28"/>
      <c r="F313" s="28"/>
    </row>
    <row r="315" spans="1:6" x14ac:dyDescent="0.25">
      <c r="A315" s="61" t="s">
        <v>175</v>
      </c>
      <c r="B315" s="1" t="s">
        <v>1</v>
      </c>
      <c r="C315" s="1" t="s">
        <v>78</v>
      </c>
      <c r="D315" s="1" t="s">
        <v>3</v>
      </c>
      <c r="E315" s="1" t="s">
        <v>4</v>
      </c>
      <c r="F315" s="11" t="s">
        <v>5</v>
      </c>
    </row>
    <row r="316" spans="1:6" x14ac:dyDescent="0.25">
      <c r="A316" s="62"/>
      <c r="B316" s="1" t="s">
        <v>166</v>
      </c>
      <c r="C316" s="2" t="s">
        <v>132</v>
      </c>
      <c r="D316" s="1">
        <v>1</v>
      </c>
      <c r="E316" s="28" t="s">
        <v>170</v>
      </c>
      <c r="F316" s="28">
        <v>2.4</v>
      </c>
    </row>
    <row r="317" spans="1:6" x14ac:dyDescent="0.25">
      <c r="A317" s="62"/>
      <c r="B317" s="1" t="s">
        <v>54</v>
      </c>
      <c r="C317" s="6" t="s">
        <v>10</v>
      </c>
      <c r="D317" s="1">
        <v>6.5</v>
      </c>
      <c r="E317" s="28"/>
      <c r="F317" s="28"/>
    </row>
    <row r="318" spans="1:6" x14ac:dyDescent="0.25">
      <c r="A318" s="62"/>
      <c r="B318" s="1" t="s">
        <v>97</v>
      </c>
      <c r="C318" s="6" t="s">
        <v>10</v>
      </c>
      <c r="D318" s="1">
        <v>6</v>
      </c>
      <c r="E318" s="28"/>
      <c r="F318" s="28"/>
    </row>
    <row r="319" spans="1:6" x14ac:dyDescent="0.25">
      <c r="A319" s="62"/>
      <c r="B319" s="1" t="s">
        <v>176</v>
      </c>
      <c r="C319" s="6" t="s">
        <v>52</v>
      </c>
      <c r="D319" s="1">
        <v>3</v>
      </c>
      <c r="E319" s="28"/>
      <c r="F319" s="28"/>
    </row>
    <row r="320" spans="1:6" x14ac:dyDescent="0.25">
      <c r="A320" s="62"/>
      <c r="B320" s="1" t="s">
        <v>99</v>
      </c>
      <c r="C320" s="1" t="s">
        <v>126</v>
      </c>
      <c r="D320" s="1">
        <v>0.69</v>
      </c>
      <c r="E320" s="28"/>
      <c r="F320" s="28"/>
    </row>
    <row r="321" spans="1:6" x14ac:dyDescent="0.25">
      <c r="A321" s="62"/>
      <c r="B321" s="1" t="s">
        <v>177</v>
      </c>
      <c r="C321" s="1" t="s">
        <v>12</v>
      </c>
      <c r="D321" s="1">
        <v>0.3</v>
      </c>
      <c r="E321" s="28"/>
      <c r="F321" s="28"/>
    </row>
    <row r="322" spans="1:6" x14ac:dyDescent="0.25">
      <c r="A322" s="62"/>
      <c r="B322" s="1" t="s">
        <v>101</v>
      </c>
      <c r="C322" s="1" t="s">
        <v>14</v>
      </c>
      <c r="D322" s="1">
        <v>1.7</v>
      </c>
      <c r="E322" s="28"/>
      <c r="F322" s="28"/>
    </row>
    <row r="323" spans="1:6" x14ac:dyDescent="0.25">
      <c r="A323" s="62"/>
      <c r="B323" s="1" t="s">
        <v>103</v>
      </c>
      <c r="C323" s="1"/>
      <c r="D323" s="1">
        <v>0.2</v>
      </c>
      <c r="E323" s="28"/>
      <c r="F323" s="28"/>
    </row>
    <row r="324" spans="1:6" x14ac:dyDescent="0.25">
      <c r="A324" s="62"/>
      <c r="B324" s="1" t="s">
        <v>104</v>
      </c>
      <c r="C324" s="1" t="s">
        <v>40</v>
      </c>
      <c r="D324" s="1">
        <v>0.2</v>
      </c>
      <c r="E324" s="28"/>
      <c r="F324" s="28"/>
    </row>
    <row r="325" spans="1:6" x14ac:dyDescent="0.25">
      <c r="A325" s="34" t="s">
        <v>168</v>
      </c>
      <c r="B325" s="35"/>
      <c r="C325" s="36"/>
      <c r="D325" s="3">
        <f>SUM(D316:D324)</f>
        <v>19.59</v>
      </c>
      <c r="E325" s="28"/>
      <c r="F325" s="28"/>
    </row>
    <row r="327" spans="1:6" x14ac:dyDescent="0.25">
      <c r="A327" s="17" t="s">
        <v>178</v>
      </c>
      <c r="B327" s="1" t="s">
        <v>1</v>
      </c>
      <c r="C327" s="1" t="s">
        <v>78</v>
      </c>
      <c r="D327" s="1" t="s">
        <v>3</v>
      </c>
      <c r="E327" s="1" t="s">
        <v>4</v>
      </c>
      <c r="F327" s="11" t="s">
        <v>5</v>
      </c>
    </row>
    <row r="328" spans="1:6" x14ac:dyDescent="0.25">
      <c r="A328" s="18"/>
      <c r="B328" s="1" t="s">
        <v>106</v>
      </c>
      <c r="C328" s="2" t="s">
        <v>107</v>
      </c>
      <c r="D328" s="1">
        <v>3.85</v>
      </c>
      <c r="E328" s="38" t="s">
        <v>179</v>
      </c>
      <c r="F328" s="38">
        <v>3</v>
      </c>
    </row>
    <row r="329" spans="1:6" x14ac:dyDescent="0.25">
      <c r="A329" s="18"/>
      <c r="B329" s="1" t="s">
        <v>180</v>
      </c>
      <c r="C329" s="6" t="s">
        <v>84</v>
      </c>
      <c r="D329" s="1">
        <v>0.35</v>
      </c>
      <c r="E329" s="39"/>
      <c r="F329" s="39"/>
    </row>
    <row r="330" spans="1:6" x14ac:dyDescent="0.25">
      <c r="A330" s="18"/>
      <c r="B330" s="1" t="s">
        <v>181</v>
      </c>
      <c r="C330" s="6" t="s">
        <v>10</v>
      </c>
      <c r="D330" s="1">
        <v>0.68</v>
      </c>
      <c r="E330" s="39"/>
      <c r="F330" s="39"/>
    </row>
    <row r="331" spans="1:6" x14ac:dyDescent="0.25">
      <c r="A331" s="18"/>
      <c r="B331" s="1" t="s">
        <v>182</v>
      </c>
      <c r="C331" s="6" t="s">
        <v>16</v>
      </c>
      <c r="D331" s="1">
        <v>1.5</v>
      </c>
      <c r="E331" s="39"/>
      <c r="F331" s="39"/>
    </row>
    <row r="332" spans="1:6" x14ac:dyDescent="0.25">
      <c r="A332" s="18"/>
      <c r="B332" s="1" t="s">
        <v>183</v>
      </c>
      <c r="C332" s="1" t="s">
        <v>14</v>
      </c>
      <c r="D332" s="1">
        <v>0.3</v>
      </c>
      <c r="E332" s="39"/>
      <c r="F332" s="39"/>
    </row>
    <row r="333" spans="1:6" x14ac:dyDescent="0.25">
      <c r="A333" s="18"/>
      <c r="B333" s="1" t="s">
        <v>184</v>
      </c>
      <c r="C333" s="1" t="s">
        <v>14</v>
      </c>
      <c r="D333" s="1">
        <v>0.44</v>
      </c>
      <c r="E333" s="39"/>
      <c r="F333" s="39"/>
    </row>
    <row r="334" spans="1:6" x14ac:dyDescent="0.25">
      <c r="A334" s="18"/>
      <c r="B334" s="1" t="s">
        <v>185</v>
      </c>
      <c r="C334" s="1" t="s">
        <v>144</v>
      </c>
      <c r="D334" s="1">
        <v>0.22</v>
      </c>
      <c r="E334" s="39"/>
      <c r="F334" s="39"/>
    </row>
    <row r="335" spans="1:6" x14ac:dyDescent="0.25">
      <c r="A335" s="18"/>
      <c r="B335" s="1" t="s">
        <v>186</v>
      </c>
      <c r="C335" s="1" t="s">
        <v>10</v>
      </c>
      <c r="D335" s="1">
        <v>1.2</v>
      </c>
      <c r="E335" s="39"/>
      <c r="F335" s="39"/>
    </row>
    <row r="336" spans="1:6" x14ac:dyDescent="0.25">
      <c r="A336" s="18"/>
      <c r="B336" s="1" t="s">
        <v>103</v>
      </c>
      <c r="C336" s="1"/>
      <c r="D336" s="1">
        <v>0.5</v>
      </c>
      <c r="E336" s="39"/>
      <c r="F336" s="39"/>
    </row>
    <row r="337" spans="1:6" x14ac:dyDescent="0.25">
      <c r="A337" s="18"/>
      <c r="B337" s="1" t="s">
        <v>112</v>
      </c>
      <c r="C337" s="1"/>
      <c r="D337" s="1"/>
      <c r="E337" s="39"/>
      <c r="F337" s="39"/>
    </row>
    <row r="338" spans="1:6" x14ac:dyDescent="0.25">
      <c r="A338" s="34" t="s">
        <v>168</v>
      </c>
      <c r="B338" s="35"/>
      <c r="C338" s="36"/>
      <c r="D338" s="3">
        <f>SUM(D328:D337)</f>
        <v>9.0399999999999991</v>
      </c>
      <c r="E338" s="40"/>
      <c r="F338" s="40"/>
    </row>
    <row r="351" spans="1:6" x14ac:dyDescent="0.25">
      <c r="A351" s="17" t="s">
        <v>187</v>
      </c>
      <c r="B351" s="1" t="s">
        <v>1</v>
      </c>
      <c r="C351" s="1" t="s">
        <v>78</v>
      </c>
      <c r="D351" s="1" t="s">
        <v>3</v>
      </c>
      <c r="E351" s="11" t="s">
        <v>4</v>
      </c>
      <c r="F351" s="11" t="s">
        <v>5</v>
      </c>
    </row>
    <row r="352" spans="1:6" x14ac:dyDescent="0.25">
      <c r="A352" s="18"/>
      <c r="B352" s="1" t="s">
        <v>106</v>
      </c>
      <c r="C352" s="2" t="s">
        <v>107</v>
      </c>
      <c r="D352" s="5">
        <v>3.85</v>
      </c>
      <c r="E352" s="28" t="s">
        <v>188</v>
      </c>
      <c r="F352" s="38">
        <v>2.5</v>
      </c>
    </row>
    <row r="353" spans="1:6" x14ac:dyDescent="0.25">
      <c r="A353" s="18"/>
      <c r="B353" s="1" t="s">
        <v>180</v>
      </c>
      <c r="C353" s="6" t="s">
        <v>84</v>
      </c>
      <c r="D353" s="5">
        <v>0.35</v>
      </c>
      <c r="E353" s="28"/>
      <c r="F353" s="39"/>
    </row>
    <row r="354" spans="1:6" x14ac:dyDescent="0.25">
      <c r="A354" s="18"/>
      <c r="B354" s="1" t="s">
        <v>181</v>
      </c>
      <c r="C354" s="6" t="s">
        <v>10</v>
      </c>
      <c r="D354" s="5">
        <v>0.68</v>
      </c>
      <c r="E354" s="28"/>
      <c r="F354" s="39"/>
    </row>
    <row r="355" spans="1:6" x14ac:dyDescent="0.25">
      <c r="A355" s="18"/>
      <c r="B355" s="1" t="s">
        <v>182</v>
      </c>
      <c r="C355" s="6" t="s">
        <v>16</v>
      </c>
      <c r="D355" s="5">
        <v>1.5</v>
      </c>
      <c r="E355" s="28"/>
      <c r="F355" s="39"/>
    </row>
    <row r="356" spans="1:6" x14ac:dyDescent="0.25">
      <c r="A356" s="18"/>
      <c r="B356" s="1" t="s">
        <v>183</v>
      </c>
      <c r="C356" s="1" t="s">
        <v>14</v>
      </c>
      <c r="D356" s="5">
        <v>0.3</v>
      </c>
      <c r="E356" s="28"/>
      <c r="F356" s="39"/>
    </row>
    <row r="357" spans="1:6" x14ac:dyDescent="0.25">
      <c r="A357" s="18"/>
      <c r="B357" s="1" t="s">
        <v>184</v>
      </c>
      <c r="C357" s="1" t="s">
        <v>14</v>
      </c>
      <c r="D357" s="5">
        <v>0.44</v>
      </c>
      <c r="E357" s="28"/>
      <c r="F357" s="39"/>
    </row>
    <row r="358" spans="1:6" x14ac:dyDescent="0.25">
      <c r="A358" s="18"/>
      <c r="B358" s="1" t="s">
        <v>185</v>
      </c>
      <c r="C358" s="1" t="s">
        <v>144</v>
      </c>
      <c r="D358" s="5">
        <v>0.22</v>
      </c>
      <c r="E358" s="28"/>
      <c r="F358" s="39"/>
    </row>
    <row r="359" spans="1:6" x14ac:dyDescent="0.25">
      <c r="A359" s="18"/>
      <c r="B359" s="1" t="s">
        <v>186</v>
      </c>
      <c r="C359" s="1" t="s">
        <v>10</v>
      </c>
      <c r="D359" s="5">
        <v>1.2</v>
      </c>
      <c r="E359" s="28"/>
      <c r="F359" s="39"/>
    </row>
    <row r="360" spans="1:6" x14ac:dyDescent="0.25">
      <c r="A360" s="18"/>
      <c r="B360" s="1" t="s">
        <v>103</v>
      </c>
      <c r="C360" s="1"/>
      <c r="D360" s="5">
        <v>0.3</v>
      </c>
      <c r="E360" s="28"/>
      <c r="F360" s="39"/>
    </row>
    <row r="361" spans="1:6" x14ac:dyDescent="0.25">
      <c r="A361" s="18"/>
      <c r="B361" s="1" t="s">
        <v>99</v>
      </c>
      <c r="C361" s="1" t="s">
        <v>100</v>
      </c>
      <c r="D361" s="5">
        <v>0.34499999999999997</v>
      </c>
      <c r="E361" s="28"/>
      <c r="F361" s="39"/>
    </row>
    <row r="362" spans="1:6" x14ac:dyDescent="0.25">
      <c r="A362" s="18"/>
      <c r="B362" s="1" t="s">
        <v>127</v>
      </c>
      <c r="C362" s="1" t="s">
        <v>14</v>
      </c>
      <c r="D362" s="5">
        <v>0.2</v>
      </c>
      <c r="E362" s="28"/>
      <c r="F362" s="39"/>
    </row>
    <row r="363" spans="1:6" x14ac:dyDescent="0.25">
      <c r="A363" s="18"/>
      <c r="B363" s="1" t="s">
        <v>101</v>
      </c>
      <c r="C363" s="1" t="s">
        <v>14</v>
      </c>
      <c r="D363" s="5">
        <v>1.7</v>
      </c>
      <c r="E363" s="28"/>
      <c r="F363" s="39"/>
    </row>
    <row r="364" spans="1:6" x14ac:dyDescent="0.25">
      <c r="A364" s="18"/>
      <c r="B364" s="1" t="s">
        <v>104</v>
      </c>
      <c r="C364" s="1" t="s">
        <v>40</v>
      </c>
      <c r="D364" s="5">
        <v>0.2</v>
      </c>
      <c r="E364" s="28"/>
      <c r="F364" s="39"/>
    </row>
    <row r="365" spans="1:6" x14ac:dyDescent="0.25">
      <c r="A365" s="19"/>
      <c r="B365" s="1" t="s">
        <v>152</v>
      </c>
      <c r="C365" s="1" t="s">
        <v>12</v>
      </c>
      <c r="D365" s="5">
        <v>0.36</v>
      </c>
      <c r="E365" s="28"/>
      <c r="F365" s="39"/>
    </row>
    <row r="366" spans="1:6" x14ac:dyDescent="0.25">
      <c r="A366" s="34" t="s">
        <v>168</v>
      </c>
      <c r="B366" s="35"/>
      <c r="C366" s="36"/>
      <c r="D366" s="13">
        <f>SUM(D352:D365)</f>
        <v>11.644999999999998</v>
      </c>
      <c r="E366" s="28"/>
      <c r="F366" s="40"/>
    </row>
    <row r="368" spans="1:6" x14ac:dyDescent="0.25">
      <c r="A368" s="17" t="s">
        <v>189</v>
      </c>
      <c r="B368" s="1" t="s">
        <v>1</v>
      </c>
      <c r="C368" s="1" t="s">
        <v>78</v>
      </c>
      <c r="D368" s="1" t="s">
        <v>3</v>
      </c>
      <c r="E368" s="11" t="s">
        <v>4</v>
      </c>
      <c r="F368" s="11" t="s">
        <v>5</v>
      </c>
    </row>
    <row r="369" spans="1:6" x14ac:dyDescent="0.25">
      <c r="A369" s="18"/>
      <c r="B369" s="1" t="s">
        <v>106</v>
      </c>
      <c r="C369" s="2" t="s">
        <v>107</v>
      </c>
      <c r="D369" s="5">
        <v>3.85</v>
      </c>
      <c r="E369" s="28" t="s">
        <v>124</v>
      </c>
      <c r="F369" s="28">
        <v>2.8</v>
      </c>
    </row>
    <row r="370" spans="1:6" x14ac:dyDescent="0.25">
      <c r="A370" s="18"/>
      <c r="B370" s="1" t="s">
        <v>180</v>
      </c>
      <c r="C370" s="6" t="s">
        <v>84</v>
      </c>
      <c r="D370" s="5">
        <v>0.35</v>
      </c>
      <c r="E370" s="28"/>
      <c r="F370" s="28"/>
    </row>
    <row r="371" spans="1:6" x14ac:dyDescent="0.25">
      <c r="A371" s="18"/>
      <c r="B371" s="1" t="s">
        <v>181</v>
      </c>
      <c r="C371" s="6" t="s">
        <v>10</v>
      </c>
      <c r="D371" s="5">
        <v>0.68</v>
      </c>
      <c r="E371" s="28"/>
      <c r="F371" s="28"/>
    </row>
    <row r="372" spans="1:6" x14ac:dyDescent="0.25">
      <c r="A372" s="18"/>
      <c r="B372" s="1" t="s">
        <v>182</v>
      </c>
      <c r="C372" s="6" t="s">
        <v>16</v>
      </c>
      <c r="D372" s="5">
        <v>1.5</v>
      </c>
      <c r="E372" s="28"/>
      <c r="F372" s="28"/>
    </row>
    <row r="373" spans="1:6" x14ac:dyDescent="0.25">
      <c r="A373" s="18"/>
      <c r="B373" s="1" t="s">
        <v>183</v>
      </c>
      <c r="C373" s="1" t="s">
        <v>14</v>
      </c>
      <c r="D373" s="5">
        <v>0.3</v>
      </c>
      <c r="E373" s="28"/>
      <c r="F373" s="28"/>
    </row>
    <row r="374" spans="1:6" x14ac:dyDescent="0.25">
      <c r="A374" s="18"/>
      <c r="B374" s="1" t="s">
        <v>184</v>
      </c>
      <c r="C374" s="1" t="s">
        <v>14</v>
      </c>
      <c r="D374" s="5">
        <v>0.44</v>
      </c>
      <c r="E374" s="28"/>
      <c r="F374" s="28"/>
    </row>
    <row r="375" spans="1:6" x14ac:dyDescent="0.25">
      <c r="A375" s="18"/>
      <c r="B375" s="1" t="s">
        <v>185</v>
      </c>
      <c r="C375" s="1" t="s">
        <v>144</v>
      </c>
      <c r="D375" s="5">
        <v>0.22</v>
      </c>
      <c r="E375" s="28"/>
      <c r="F375" s="28"/>
    </row>
    <row r="376" spans="1:6" x14ac:dyDescent="0.25">
      <c r="A376" s="18"/>
      <c r="B376" s="1" t="s">
        <v>186</v>
      </c>
      <c r="C376" s="1" t="s">
        <v>10</v>
      </c>
      <c r="D376" s="5">
        <v>1.2</v>
      </c>
      <c r="E376" s="28"/>
      <c r="F376" s="28"/>
    </row>
    <row r="377" spans="1:6" x14ac:dyDescent="0.25">
      <c r="A377" s="18"/>
      <c r="B377" s="1" t="s">
        <v>103</v>
      </c>
      <c r="C377" s="1"/>
      <c r="D377" s="5"/>
      <c r="E377" s="28"/>
      <c r="F377" s="28"/>
    </row>
    <row r="378" spans="1:6" x14ac:dyDescent="0.25">
      <c r="A378" s="18"/>
      <c r="B378" s="1" t="s">
        <v>112</v>
      </c>
      <c r="C378" s="1"/>
      <c r="D378" s="5"/>
      <c r="E378" s="28"/>
      <c r="F378" s="28"/>
    </row>
    <row r="379" spans="1:6" x14ac:dyDescent="0.25">
      <c r="A379" s="18"/>
      <c r="B379" s="1" t="s">
        <v>190</v>
      </c>
      <c r="C379" s="1" t="s">
        <v>16</v>
      </c>
      <c r="D379" s="5">
        <v>0.5</v>
      </c>
      <c r="E379" s="28"/>
      <c r="F379" s="28"/>
    </row>
    <row r="380" spans="1:6" x14ac:dyDescent="0.25">
      <c r="A380" s="18"/>
      <c r="B380" s="1" t="s">
        <v>111</v>
      </c>
      <c r="C380" s="1"/>
      <c r="D380" s="5">
        <v>1</v>
      </c>
      <c r="E380" s="28"/>
      <c r="F380" s="28"/>
    </row>
    <row r="381" spans="1:6" x14ac:dyDescent="0.25">
      <c r="A381" s="18"/>
      <c r="B381" s="1" t="s">
        <v>120</v>
      </c>
      <c r="C381" s="1"/>
      <c r="D381" s="5"/>
      <c r="E381" s="28"/>
      <c r="F381" s="28"/>
    </row>
    <row r="382" spans="1:6" x14ac:dyDescent="0.25">
      <c r="A382" s="34" t="s">
        <v>168</v>
      </c>
      <c r="B382" s="35"/>
      <c r="C382" s="36"/>
      <c r="D382" s="13">
        <f>SUM(D369:D381)</f>
        <v>10.039999999999999</v>
      </c>
      <c r="E382" s="28"/>
      <c r="F382" s="28"/>
    </row>
    <row r="403" spans="1:6" x14ac:dyDescent="0.25">
      <c r="A403" s="17" t="s">
        <v>191</v>
      </c>
      <c r="B403" s="1" t="s">
        <v>1</v>
      </c>
      <c r="C403" s="1" t="s">
        <v>78</v>
      </c>
      <c r="D403" s="1" t="s">
        <v>3</v>
      </c>
      <c r="E403" s="11" t="s">
        <v>4</v>
      </c>
      <c r="F403" s="11" t="s">
        <v>5</v>
      </c>
    </row>
    <row r="404" spans="1:6" x14ac:dyDescent="0.25">
      <c r="A404" s="18"/>
      <c r="B404" s="1" t="s">
        <v>106</v>
      </c>
      <c r="C404" s="2" t="s">
        <v>66</v>
      </c>
      <c r="D404" s="5">
        <v>4.375</v>
      </c>
      <c r="E404" s="38" t="s">
        <v>192</v>
      </c>
      <c r="F404" s="38">
        <v>2.8</v>
      </c>
    </row>
    <row r="405" spans="1:6" x14ac:dyDescent="0.25">
      <c r="A405" s="18"/>
      <c r="B405" s="1" t="s">
        <v>180</v>
      </c>
      <c r="C405" s="6" t="s">
        <v>84</v>
      </c>
      <c r="D405" s="5">
        <v>0.35</v>
      </c>
      <c r="E405" s="39"/>
      <c r="F405" s="39"/>
    </row>
    <row r="406" spans="1:6" x14ac:dyDescent="0.25">
      <c r="A406" s="18"/>
      <c r="B406" s="1" t="s">
        <v>181</v>
      </c>
      <c r="C406" s="6" t="s">
        <v>10</v>
      </c>
      <c r="D406" s="5">
        <v>0.68</v>
      </c>
      <c r="E406" s="39"/>
      <c r="F406" s="39"/>
    </row>
    <row r="407" spans="1:6" x14ac:dyDescent="0.25">
      <c r="A407" s="18"/>
      <c r="B407" s="1" t="s">
        <v>182</v>
      </c>
      <c r="C407" s="6" t="s">
        <v>16</v>
      </c>
      <c r="D407" s="5">
        <v>1.5</v>
      </c>
      <c r="E407" s="39"/>
      <c r="F407" s="39"/>
    </row>
    <row r="408" spans="1:6" x14ac:dyDescent="0.25">
      <c r="A408" s="18"/>
      <c r="B408" s="1" t="s">
        <v>183</v>
      </c>
      <c r="C408" s="1" t="s">
        <v>14</v>
      </c>
      <c r="D408" s="5">
        <v>0.3</v>
      </c>
      <c r="E408" s="39"/>
      <c r="F408" s="39"/>
    </row>
    <row r="409" spans="1:6" x14ac:dyDescent="0.25">
      <c r="A409" s="18"/>
      <c r="B409" s="1" t="s">
        <v>184</v>
      </c>
      <c r="C409" s="1" t="s">
        <v>14</v>
      </c>
      <c r="D409" s="5">
        <v>0.44</v>
      </c>
      <c r="E409" s="39"/>
      <c r="F409" s="39"/>
    </row>
    <row r="410" spans="1:6" x14ac:dyDescent="0.25">
      <c r="A410" s="18"/>
      <c r="B410" s="1" t="s">
        <v>185</v>
      </c>
      <c r="C410" s="1" t="s">
        <v>144</v>
      </c>
      <c r="D410" s="5">
        <v>0.22</v>
      </c>
      <c r="E410" s="39"/>
      <c r="F410" s="39"/>
    </row>
    <row r="411" spans="1:6" x14ac:dyDescent="0.25">
      <c r="A411" s="18"/>
      <c r="B411" s="1" t="s">
        <v>186</v>
      </c>
      <c r="C411" s="1" t="s">
        <v>10</v>
      </c>
      <c r="D411" s="5">
        <v>1.2</v>
      </c>
      <c r="E411" s="39"/>
      <c r="F411" s="39"/>
    </row>
    <row r="412" spans="1:6" x14ac:dyDescent="0.25">
      <c r="A412" s="18"/>
      <c r="B412" s="1" t="s">
        <v>103</v>
      </c>
      <c r="C412" s="1"/>
      <c r="D412" s="5">
        <v>0.5</v>
      </c>
      <c r="E412" s="39"/>
      <c r="F412" s="39"/>
    </row>
    <row r="413" spans="1:6" x14ac:dyDescent="0.25">
      <c r="A413" s="18"/>
      <c r="B413" s="1" t="s">
        <v>99</v>
      </c>
      <c r="C413" s="1" t="s">
        <v>100</v>
      </c>
      <c r="D413" s="5">
        <v>0.34499999999999997</v>
      </c>
      <c r="E413" s="39"/>
      <c r="F413" s="39"/>
    </row>
    <row r="414" spans="1:6" x14ac:dyDescent="0.25">
      <c r="A414" s="18"/>
      <c r="B414" s="1" t="s">
        <v>193</v>
      </c>
      <c r="C414" s="1" t="s">
        <v>52</v>
      </c>
      <c r="D414" s="5">
        <v>0.48</v>
      </c>
      <c r="E414" s="39"/>
      <c r="F414" s="39"/>
    </row>
    <row r="415" spans="1:6" x14ac:dyDescent="0.25">
      <c r="A415" s="18"/>
      <c r="B415" s="1" t="s">
        <v>109</v>
      </c>
      <c r="C415" s="1" t="s">
        <v>144</v>
      </c>
      <c r="D415" s="5">
        <v>0.2</v>
      </c>
      <c r="E415" s="39"/>
      <c r="F415" s="39"/>
    </row>
    <row r="416" spans="1:6" x14ac:dyDescent="0.25">
      <c r="A416" s="18"/>
      <c r="B416" s="1" t="s">
        <v>110</v>
      </c>
      <c r="C416" s="1" t="s">
        <v>144</v>
      </c>
      <c r="D416" s="5">
        <v>0.1</v>
      </c>
      <c r="E416" s="39"/>
      <c r="F416" s="39"/>
    </row>
    <row r="417" spans="1:6" x14ac:dyDescent="0.25">
      <c r="A417" s="18"/>
      <c r="B417" s="1" t="s">
        <v>194</v>
      </c>
      <c r="C417" s="1" t="s">
        <v>40</v>
      </c>
      <c r="D417" s="5">
        <v>0.42499999999999999</v>
      </c>
      <c r="E417" s="39"/>
      <c r="F417" s="39"/>
    </row>
    <row r="418" spans="1:6" x14ac:dyDescent="0.25">
      <c r="A418" s="18"/>
      <c r="B418" s="1" t="s">
        <v>127</v>
      </c>
      <c r="C418" s="1" t="s">
        <v>12</v>
      </c>
      <c r="D418" s="5">
        <v>0.3</v>
      </c>
      <c r="E418" s="39"/>
      <c r="F418" s="39"/>
    </row>
    <row r="419" spans="1:6" x14ac:dyDescent="0.25">
      <c r="A419" s="18"/>
      <c r="B419" s="1" t="s">
        <v>101</v>
      </c>
      <c r="C419" s="1" t="s">
        <v>14</v>
      </c>
      <c r="D419" s="5">
        <v>1.7</v>
      </c>
      <c r="E419" s="39"/>
      <c r="F419" s="39"/>
    </row>
    <row r="420" spans="1:6" x14ac:dyDescent="0.25">
      <c r="A420" s="19"/>
      <c r="B420" s="1" t="s">
        <v>104</v>
      </c>
      <c r="C420" s="1" t="s">
        <v>40</v>
      </c>
      <c r="D420" s="5">
        <v>0.2</v>
      </c>
      <c r="E420" s="39"/>
      <c r="F420" s="39"/>
    </row>
    <row r="421" spans="1:6" x14ac:dyDescent="0.25">
      <c r="A421" s="34" t="s">
        <v>168</v>
      </c>
      <c r="B421" s="35"/>
      <c r="C421" s="36"/>
      <c r="D421" s="13">
        <f>SUM(D404:D420)</f>
        <v>13.315</v>
      </c>
      <c r="E421" s="40"/>
      <c r="F421" s="40"/>
    </row>
    <row r="423" spans="1:6" x14ac:dyDescent="0.25">
      <c r="A423" s="65" t="s">
        <v>195</v>
      </c>
      <c r="B423" s="1" t="s">
        <v>1</v>
      </c>
      <c r="C423" s="1" t="s">
        <v>78</v>
      </c>
      <c r="D423" s="1" t="s">
        <v>3</v>
      </c>
      <c r="E423" s="11" t="s">
        <v>4</v>
      </c>
      <c r="F423" s="11" t="s">
        <v>5</v>
      </c>
    </row>
    <row r="424" spans="1:6" x14ac:dyDescent="0.25">
      <c r="A424" s="18"/>
      <c r="B424" s="1" t="s">
        <v>106</v>
      </c>
      <c r="C424" s="2" t="s">
        <v>66</v>
      </c>
      <c r="D424" s="5">
        <v>4.375</v>
      </c>
      <c r="E424" s="28" t="s">
        <v>196</v>
      </c>
      <c r="F424" s="38">
        <v>2.7</v>
      </c>
    </row>
    <row r="425" spans="1:6" x14ac:dyDescent="0.25">
      <c r="A425" s="18"/>
      <c r="B425" s="1" t="s">
        <v>180</v>
      </c>
      <c r="C425" s="6" t="s">
        <v>84</v>
      </c>
      <c r="D425" s="5">
        <v>0.35</v>
      </c>
      <c r="E425" s="28"/>
      <c r="F425" s="39"/>
    </row>
    <row r="426" spans="1:6" x14ac:dyDescent="0.25">
      <c r="A426" s="18"/>
      <c r="B426" s="1" t="s">
        <v>181</v>
      </c>
      <c r="C426" s="6" t="s">
        <v>10</v>
      </c>
      <c r="D426" s="5">
        <v>0.68</v>
      </c>
      <c r="E426" s="28"/>
      <c r="F426" s="39"/>
    </row>
    <row r="427" spans="1:6" x14ac:dyDescent="0.25">
      <c r="A427" s="18"/>
      <c r="B427" s="1" t="s">
        <v>182</v>
      </c>
      <c r="C427" s="6" t="s">
        <v>16</v>
      </c>
      <c r="D427" s="5">
        <v>1.5</v>
      </c>
      <c r="E427" s="28"/>
      <c r="F427" s="39"/>
    </row>
    <row r="428" spans="1:6" x14ac:dyDescent="0.25">
      <c r="A428" s="18"/>
      <c r="B428" s="1" t="s">
        <v>183</v>
      </c>
      <c r="C428" s="1" t="s">
        <v>14</v>
      </c>
      <c r="D428" s="5">
        <v>0.3</v>
      </c>
      <c r="E428" s="28"/>
      <c r="F428" s="39"/>
    </row>
    <row r="429" spans="1:6" x14ac:dyDescent="0.25">
      <c r="A429" s="18"/>
      <c r="B429" s="1" t="s">
        <v>184</v>
      </c>
      <c r="C429" s="1" t="s">
        <v>14</v>
      </c>
      <c r="D429" s="5">
        <v>0.44</v>
      </c>
      <c r="E429" s="28"/>
      <c r="F429" s="39"/>
    </row>
    <row r="430" spans="1:6" x14ac:dyDescent="0.25">
      <c r="A430" s="18"/>
      <c r="B430" s="1" t="s">
        <v>185</v>
      </c>
      <c r="C430" s="1" t="s">
        <v>144</v>
      </c>
      <c r="D430" s="5">
        <v>0.22</v>
      </c>
      <c r="E430" s="28"/>
      <c r="F430" s="39"/>
    </row>
    <row r="431" spans="1:6" x14ac:dyDescent="0.25">
      <c r="A431" s="18"/>
      <c r="B431" s="1" t="s">
        <v>186</v>
      </c>
      <c r="C431" s="1" t="s">
        <v>10</v>
      </c>
      <c r="D431" s="5">
        <v>1.5</v>
      </c>
      <c r="E431" s="28"/>
      <c r="F431" s="39"/>
    </row>
    <row r="432" spans="1:6" x14ac:dyDescent="0.25">
      <c r="A432" s="18"/>
      <c r="B432" s="1" t="s">
        <v>103</v>
      </c>
      <c r="C432" s="1"/>
      <c r="D432" s="5">
        <v>0.2</v>
      </c>
      <c r="E432" s="28"/>
      <c r="F432" s="39"/>
    </row>
    <row r="433" spans="1:6" x14ac:dyDescent="0.25">
      <c r="A433" s="18"/>
      <c r="B433" s="1" t="s">
        <v>99</v>
      </c>
      <c r="C433" s="1" t="s">
        <v>145</v>
      </c>
      <c r="D433" s="5">
        <v>0.25</v>
      </c>
      <c r="E433" s="28"/>
      <c r="F433" s="39"/>
    </row>
    <row r="434" spans="1:6" x14ac:dyDescent="0.25">
      <c r="A434" s="18"/>
      <c r="B434" s="1" t="s">
        <v>193</v>
      </c>
      <c r="C434" s="1" t="s">
        <v>14</v>
      </c>
      <c r="D434" s="5">
        <v>0.24</v>
      </c>
      <c r="E434" s="28"/>
      <c r="F434" s="39"/>
    </row>
    <row r="435" spans="1:6" x14ac:dyDescent="0.25">
      <c r="A435" s="18"/>
      <c r="B435" s="1" t="s">
        <v>102</v>
      </c>
      <c r="C435" s="1" t="s">
        <v>14</v>
      </c>
      <c r="D435" s="5">
        <v>0.55000000000000004</v>
      </c>
      <c r="E435" s="28"/>
      <c r="F435" s="39"/>
    </row>
    <row r="436" spans="1:6" x14ac:dyDescent="0.25">
      <c r="A436" s="18"/>
      <c r="B436" s="1" t="s">
        <v>197</v>
      </c>
      <c r="C436" s="1" t="s">
        <v>14</v>
      </c>
      <c r="D436" s="5">
        <v>0.43099999999999999</v>
      </c>
      <c r="E436" s="28"/>
      <c r="F436" s="39"/>
    </row>
    <row r="437" spans="1:6" x14ac:dyDescent="0.25">
      <c r="A437" s="18"/>
      <c r="B437" s="1" t="s">
        <v>101</v>
      </c>
      <c r="C437" s="1" t="s">
        <v>14</v>
      </c>
      <c r="D437" s="5">
        <v>1.7</v>
      </c>
      <c r="E437" s="28"/>
      <c r="F437" s="39"/>
    </row>
    <row r="438" spans="1:6" x14ac:dyDescent="0.25">
      <c r="A438" s="19"/>
      <c r="B438" s="1" t="s">
        <v>104</v>
      </c>
      <c r="C438" s="1" t="s">
        <v>40</v>
      </c>
      <c r="D438" s="5">
        <v>0.2</v>
      </c>
      <c r="E438" s="28"/>
      <c r="F438" s="39"/>
    </row>
    <row r="439" spans="1:6" x14ac:dyDescent="0.25">
      <c r="A439" s="34" t="s">
        <v>168</v>
      </c>
      <c r="B439" s="35"/>
      <c r="C439" s="36"/>
      <c r="D439" s="13">
        <f>SUM(D424:D438)</f>
        <v>12.935999999999996</v>
      </c>
      <c r="E439" s="28"/>
      <c r="F439" s="40"/>
    </row>
    <row r="440" spans="1:6" x14ac:dyDescent="0.25">
      <c r="F440" s="14"/>
    </row>
    <row r="451" spans="1:6" x14ac:dyDescent="0.25">
      <c r="A451" s="63" t="s">
        <v>198</v>
      </c>
      <c r="B451" s="1" t="s">
        <v>1</v>
      </c>
      <c r="C451" s="1" t="s">
        <v>78</v>
      </c>
      <c r="D451" s="1" t="s">
        <v>3</v>
      </c>
      <c r="E451" s="15" t="s">
        <v>4</v>
      </c>
      <c r="F451" s="11" t="s">
        <v>5</v>
      </c>
    </row>
    <row r="452" spans="1:6" x14ac:dyDescent="0.25">
      <c r="A452" s="63"/>
      <c r="B452" s="1" t="s">
        <v>199</v>
      </c>
      <c r="C452" s="2" t="s">
        <v>107</v>
      </c>
      <c r="D452" s="5">
        <v>12.1</v>
      </c>
      <c r="E452" s="64" t="s">
        <v>200</v>
      </c>
      <c r="F452" s="38">
        <v>2.6</v>
      </c>
    </row>
    <row r="453" spans="1:6" x14ac:dyDescent="0.25">
      <c r="A453" s="63"/>
      <c r="B453" s="1" t="s">
        <v>180</v>
      </c>
      <c r="C453" s="6" t="s">
        <v>84</v>
      </c>
      <c r="D453" s="5">
        <v>0.35</v>
      </c>
      <c r="E453" s="64"/>
      <c r="F453" s="39"/>
    </row>
    <row r="454" spans="1:6" x14ac:dyDescent="0.25">
      <c r="A454" s="63"/>
      <c r="B454" s="1" t="s">
        <v>181</v>
      </c>
      <c r="C454" s="6" t="s">
        <v>10</v>
      </c>
      <c r="D454" s="5">
        <v>0.68</v>
      </c>
      <c r="E454" s="64"/>
      <c r="F454" s="39"/>
    </row>
    <row r="455" spans="1:6" x14ac:dyDescent="0.25">
      <c r="A455" s="63"/>
      <c r="B455" s="1" t="s">
        <v>182</v>
      </c>
      <c r="C455" s="6" t="s">
        <v>16</v>
      </c>
      <c r="D455" s="5">
        <v>1.5</v>
      </c>
      <c r="E455" s="64"/>
      <c r="F455" s="39"/>
    </row>
    <row r="456" spans="1:6" x14ac:dyDescent="0.25">
      <c r="A456" s="63"/>
      <c r="B456" s="1" t="s">
        <v>183</v>
      </c>
      <c r="C456" s="1" t="s">
        <v>14</v>
      </c>
      <c r="D456" s="5">
        <v>0.3</v>
      </c>
      <c r="E456" s="64"/>
      <c r="F456" s="39"/>
    </row>
    <row r="457" spans="1:6" x14ac:dyDescent="0.25">
      <c r="A457" s="63"/>
      <c r="B457" s="1" t="s">
        <v>184</v>
      </c>
      <c r="C457" s="1" t="s">
        <v>14</v>
      </c>
      <c r="D457" s="5">
        <v>0.44</v>
      </c>
      <c r="E457" s="64"/>
      <c r="F457" s="39"/>
    </row>
    <row r="458" spans="1:6" x14ac:dyDescent="0.25">
      <c r="A458" s="63"/>
      <c r="B458" s="1" t="s">
        <v>185</v>
      </c>
      <c r="C458" s="1" t="s">
        <v>144</v>
      </c>
      <c r="D458" s="5">
        <v>0.22</v>
      </c>
      <c r="E458" s="64"/>
      <c r="F458" s="39"/>
    </row>
    <row r="459" spans="1:6" x14ac:dyDescent="0.25">
      <c r="A459" s="63"/>
      <c r="B459" s="1" t="s">
        <v>186</v>
      </c>
      <c r="C459" s="1" t="s">
        <v>10</v>
      </c>
      <c r="D459" s="5">
        <v>1.5</v>
      </c>
      <c r="E459" s="64"/>
      <c r="F459" s="39"/>
    </row>
    <row r="460" spans="1:6" x14ac:dyDescent="0.25">
      <c r="A460" s="63"/>
      <c r="B460" s="1" t="s">
        <v>103</v>
      </c>
      <c r="C460" s="1"/>
      <c r="D460" s="5">
        <v>0.2</v>
      </c>
      <c r="E460" s="64"/>
      <c r="F460" s="39"/>
    </row>
    <row r="461" spans="1:6" x14ac:dyDescent="0.25">
      <c r="A461" s="63"/>
      <c r="B461" s="1" t="s">
        <v>201</v>
      </c>
      <c r="C461" s="1" t="s">
        <v>16</v>
      </c>
      <c r="D461" s="5">
        <v>0.2</v>
      </c>
      <c r="E461" s="64"/>
      <c r="F461" s="39"/>
    </row>
    <row r="462" spans="1:6" x14ac:dyDescent="0.25">
      <c r="A462" s="63"/>
      <c r="B462" s="1" t="s">
        <v>193</v>
      </c>
      <c r="C462" s="1" t="s">
        <v>10</v>
      </c>
      <c r="D462" s="5">
        <v>0.24</v>
      </c>
      <c r="E462" s="64"/>
      <c r="F462" s="39"/>
    </row>
    <row r="463" spans="1:6" x14ac:dyDescent="0.25">
      <c r="A463" s="63"/>
      <c r="B463" s="1" t="s">
        <v>202</v>
      </c>
      <c r="C463" s="1" t="s">
        <v>12</v>
      </c>
      <c r="D463" s="5">
        <v>0.3</v>
      </c>
      <c r="E463" s="64"/>
      <c r="F463" s="39"/>
    </row>
    <row r="464" spans="1:6" x14ac:dyDescent="0.25">
      <c r="A464" s="63"/>
      <c r="B464" s="1" t="s">
        <v>203</v>
      </c>
      <c r="C464" s="1" t="s">
        <v>144</v>
      </c>
      <c r="D464" s="5">
        <v>0.05</v>
      </c>
      <c r="E464" s="64"/>
      <c r="F464" s="39"/>
    </row>
    <row r="465" spans="1:6" x14ac:dyDescent="0.25">
      <c r="A465" s="34" t="s">
        <v>168</v>
      </c>
      <c r="B465" s="35"/>
      <c r="C465" s="36"/>
      <c r="D465" s="13">
        <f>SUM(D452:D464)</f>
        <v>18.079999999999998</v>
      </c>
      <c r="E465" s="64"/>
      <c r="F465" s="40"/>
    </row>
    <row r="467" spans="1:6" x14ac:dyDescent="0.25">
      <c r="A467" s="63" t="s">
        <v>204</v>
      </c>
      <c r="B467" s="1" t="s">
        <v>1</v>
      </c>
      <c r="C467" s="1" t="s">
        <v>78</v>
      </c>
      <c r="D467" s="1" t="s">
        <v>3</v>
      </c>
      <c r="E467" s="15" t="s">
        <v>4</v>
      </c>
      <c r="F467" s="11" t="s">
        <v>5</v>
      </c>
    </row>
    <row r="468" spans="1:6" x14ac:dyDescent="0.25">
      <c r="A468" s="63"/>
      <c r="B468" s="1" t="s">
        <v>199</v>
      </c>
      <c r="C468" s="2" t="s">
        <v>205</v>
      </c>
      <c r="D468" s="5">
        <v>15.4</v>
      </c>
      <c r="E468" s="28" t="s">
        <v>206</v>
      </c>
      <c r="F468" s="28">
        <v>2.5</v>
      </c>
    </row>
    <row r="469" spans="1:6" x14ac:dyDescent="0.25">
      <c r="A469" s="63"/>
      <c r="B469" s="1" t="s">
        <v>180</v>
      </c>
      <c r="C469" s="6" t="s">
        <v>84</v>
      </c>
      <c r="D469" s="5">
        <v>0.35</v>
      </c>
      <c r="E469" s="28"/>
      <c r="F469" s="28"/>
    </row>
    <row r="470" spans="1:6" x14ac:dyDescent="0.25">
      <c r="A470" s="63"/>
      <c r="B470" s="1" t="s">
        <v>181</v>
      </c>
      <c r="C470" s="6" t="s">
        <v>10</v>
      </c>
      <c r="D470" s="5">
        <v>0.68</v>
      </c>
      <c r="E470" s="28"/>
      <c r="F470" s="28"/>
    </row>
    <row r="471" spans="1:6" x14ac:dyDescent="0.25">
      <c r="A471" s="63"/>
      <c r="B471" s="1" t="s">
        <v>182</v>
      </c>
      <c r="C471" s="6" t="s">
        <v>16</v>
      </c>
      <c r="D471" s="5">
        <v>1.5</v>
      </c>
      <c r="E471" s="28"/>
      <c r="F471" s="28"/>
    </row>
    <row r="472" spans="1:6" x14ac:dyDescent="0.25">
      <c r="A472" s="63"/>
      <c r="B472" s="1" t="s">
        <v>183</v>
      </c>
      <c r="C472" s="1" t="s">
        <v>14</v>
      </c>
      <c r="D472" s="5">
        <v>0.3</v>
      </c>
      <c r="E472" s="28"/>
      <c r="F472" s="28"/>
    </row>
    <row r="473" spans="1:6" x14ac:dyDescent="0.25">
      <c r="A473" s="63"/>
      <c r="B473" s="1" t="s">
        <v>184</v>
      </c>
      <c r="C473" s="1" t="s">
        <v>14</v>
      </c>
      <c r="D473" s="5">
        <v>0.44</v>
      </c>
      <c r="E473" s="28"/>
      <c r="F473" s="28"/>
    </row>
    <row r="474" spans="1:6" x14ac:dyDescent="0.25">
      <c r="A474" s="63"/>
      <c r="B474" s="1" t="s">
        <v>185</v>
      </c>
      <c r="C474" s="1" t="s">
        <v>144</v>
      </c>
      <c r="D474" s="5">
        <v>0.22</v>
      </c>
      <c r="E474" s="28"/>
      <c r="F474" s="28"/>
    </row>
    <row r="475" spans="1:6" x14ac:dyDescent="0.25">
      <c r="A475" s="63"/>
      <c r="B475" s="1" t="s">
        <v>186</v>
      </c>
      <c r="C475" s="1" t="s">
        <v>10</v>
      </c>
      <c r="D475" s="5">
        <v>1.5</v>
      </c>
      <c r="E475" s="28"/>
      <c r="F475" s="28"/>
    </row>
    <row r="476" spans="1:6" x14ac:dyDescent="0.25">
      <c r="A476" s="63"/>
      <c r="B476" s="1" t="s">
        <v>103</v>
      </c>
      <c r="C476" s="1"/>
      <c r="D476" s="5">
        <v>0.2</v>
      </c>
      <c r="E476" s="28"/>
      <c r="F476" s="28"/>
    </row>
    <row r="477" spans="1:6" x14ac:dyDescent="0.25">
      <c r="A477" s="63"/>
      <c r="B477" s="1" t="s">
        <v>118</v>
      </c>
      <c r="C477" s="1" t="s">
        <v>16</v>
      </c>
      <c r="D477" s="5">
        <v>4.25</v>
      </c>
      <c r="E477" s="28"/>
      <c r="F477" s="28"/>
    </row>
    <row r="478" spans="1:6" x14ac:dyDescent="0.25">
      <c r="A478" s="63"/>
      <c r="B478" s="1" t="s">
        <v>193</v>
      </c>
      <c r="C478" s="1" t="s">
        <v>207</v>
      </c>
      <c r="D478" s="5">
        <v>0.12</v>
      </c>
      <c r="E478" s="28"/>
      <c r="F478" s="28"/>
    </row>
    <row r="479" spans="1:6" x14ac:dyDescent="0.25">
      <c r="A479" s="63"/>
      <c r="B479" s="1" t="s">
        <v>63</v>
      </c>
      <c r="C479" s="1" t="s">
        <v>208</v>
      </c>
      <c r="D479" s="5">
        <v>0.316</v>
      </c>
      <c r="E479" s="28"/>
      <c r="F479" s="28"/>
    </row>
    <row r="480" spans="1:6" x14ac:dyDescent="0.25">
      <c r="A480" s="63"/>
      <c r="B480" s="1" t="s">
        <v>110</v>
      </c>
      <c r="C480" s="1" t="s">
        <v>207</v>
      </c>
      <c r="D480" s="5">
        <v>0.05</v>
      </c>
      <c r="E480" s="28"/>
      <c r="F480" s="28"/>
    </row>
    <row r="481" spans="1:6" x14ac:dyDescent="0.25">
      <c r="A481" s="34" t="s">
        <v>168</v>
      </c>
      <c r="B481" s="35"/>
      <c r="C481" s="36"/>
      <c r="D481" s="13">
        <f>SUM(D468:D480)</f>
        <v>25.326000000000001</v>
      </c>
      <c r="E481" s="28"/>
      <c r="F481" s="28"/>
    </row>
    <row r="483" spans="1:6" x14ac:dyDescent="0.25">
      <c r="A483" s="52" t="s">
        <v>209</v>
      </c>
      <c r="B483" s="1" t="s">
        <v>1</v>
      </c>
      <c r="C483" s="1" t="s">
        <v>78</v>
      </c>
      <c r="D483" s="1" t="s">
        <v>3</v>
      </c>
      <c r="E483" s="11" t="s">
        <v>4</v>
      </c>
      <c r="F483" s="11" t="s">
        <v>5</v>
      </c>
    </row>
    <row r="484" spans="1:6" x14ac:dyDescent="0.25">
      <c r="A484" s="53"/>
      <c r="B484" s="1" t="s">
        <v>199</v>
      </c>
      <c r="C484" s="2" t="s">
        <v>205</v>
      </c>
      <c r="D484" s="5">
        <v>15.4</v>
      </c>
      <c r="E484" s="38" t="s">
        <v>210</v>
      </c>
      <c r="F484" s="38">
        <v>2.5</v>
      </c>
    </row>
    <row r="485" spans="1:6" x14ac:dyDescent="0.25">
      <c r="A485" s="53"/>
      <c r="B485" s="1" t="s">
        <v>180</v>
      </c>
      <c r="C485" s="6" t="s">
        <v>84</v>
      </c>
      <c r="D485" s="5">
        <v>0.35</v>
      </c>
      <c r="E485" s="39"/>
      <c r="F485" s="39"/>
    </row>
    <row r="486" spans="1:6" x14ac:dyDescent="0.25">
      <c r="A486" s="53"/>
      <c r="B486" s="1" t="s">
        <v>181</v>
      </c>
      <c r="C486" s="6" t="s">
        <v>10</v>
      </c>
      <c r="D486" s="5">
        <v>0.68</v>
      </c>
      <c r="E486" s="39"/>
      <c r="F486" s="39"/>
    </row>
    <row r="487" spans="1:6" x14ac:dyDescent="0.25">
      <c r="A487" s="53"/>
      <c r="B487" s="1" t="s">
        <v>182</v>
      </c>
      <c r="C487" s="6" t="s">
        <v>16</v>
      </c>
      <c r="D487" s="5">
        <v>1.5</v>
      </c>
      <c r="E487" s="39"/>
      <c r="F487" s="39"/>
    </row>
    <row r="488" spans="1:6" x14ac:dyDescent="0.25">
      <c r="A488" s="53"/>
      <c r="B488" s="1" t="s">
        <v>183</v>
      </c>
      <c r="C488" s="1" t="s">
        <v>14</v>
      </c>
      <c r="D488" s="5">
        <v>0.3</v>
      </c>
      <c r="E488" s="39"/>
      <c r="F488" s="39"/>
    </row>
    <row r="489" spans="1:6" x14ac:dyDescent="0.25">
      <c r="A489" s="53"/>
      <c r="B489" s="1" t="s">
        <v>184</v>
      </c>
      <c r="C489" s="1" t="s">
        <v>14</v>
      </c>
      <c r="D489" s="5">
        <v>0.44</v>
      </c>
      <c r="E489" s="39"/>
      <c r="F489" s="39"/>
    </row>
    <row r="490" spans="1:6" x14ac:dyDescent="0.25">
      <c r="A490" s="53"/>
      <c r="B490" s="1" t="s">
        <v>185</v>
      </c>
      <c r="C490" s="1" t="s">
        <v>144</v>
      </c>
      <c r="D490" s="5">
        <v>0.22</v>
      </c>
      <c r="E490" s="39"/>
      <c r="F490" s="39"/>
    </row>
    <row r="491" spans="1:6" x14ac:dyDescent="0.25">
      <c r="A491" s="53"/>
      <c r="B491" s="1" t="s">
        <v>186</v>
      </c>
      <c r="C491" s="1" t="s">
        <v>10</v>
      </c>
      <c r="D491" s="5">
        <v>1.5</v>
      </c>
      <c r="E491" s="39"/>
      <c r="F491" s="39"/>
    </row>
    <row r="492" spans="1:6" x14ac:dyDescent="0.25">
      <c r="A492" s="53"/>
      <c r="B492" s="1" t="s">
        <v>103</v>
      </c>
      <c r="C492" s="1"/>
      <c r="D492" s="5">
        <v>0.2</v>
      </c>
      <c r="E492" s="39"/>
      <c r="F492" s="39"/>
    </row>
    <row r="493" spans="1:6" x14ac:dyDescent="0.25">
      <c r="A493" s="53"/>
      <c r="B493" s="1" t="s">
        <v>99</v>
      </c>
      <c r="C493" s="1" t="s">
        <v>100</v>
      </c>
      <c r="D493" s="5">
        <v>0.34499999999999997</v>
      </c>
      <c r="E493" s="39"/>
      <c r="F493" s="39"/>
    </row>
    <row r="494" spans="1:6" x14ac:dyDescent="0.25">
      <c r="A494" s="53"/>
      <c r="B494" s="1" t="s">
        <v>211</v>
      </c>
      <c r="C494" s="1" t="s">
        <v>16</v>
      </c>
      <c r="D494" s="5">
        <v>0.75</v>
      </c>
      <c r="E494" s="39"/>
      <c r="F494" s="39"/>
    </row>
    <row r="495" spans="1:6" x14ac:dyDescent="0.25">
      <c r="A495" s="53"/>
      <c r="B495" s="1" t="s">
        <v>63</v>
      </c>
      <c r="C495" s="1" t="s">
        <v>26</v>
      </c>
      <c r="D495" s="5">
        <v>0.316</v>
      </c>
      <c r="E495" s="39"/>
      <c r="F495" s="39"/>
    </row>
    <row r="496" spans="1:6" x14ac:dyDescent="0.25">
      <c r="A496" s="53"/>
      <c r="B496" s="1" t="s">
        <v>190</v>
      </c>
      <c r="C496" s="1" t="s">
        <v>16</v>
      </c>
      <c r="D496" s="5">
        <v>0.05</v>
      </c>
      <c r="E496" s="39"/>
      <c r="F496" s="39"/>
    </row>
    <row r="497" spans="1:6" x14ac:dyDescent="0.25">
      <c r="A497" s="54"/>
      <c r="B497" s="1" t="s">
        <v>118</v>
      </c>
      <c r="C497" s="1" t="s">
        <v>14</v>
      </c>
      <c r="D497" s="5">
        <v>1.7</v>
      </c>
      <c r="E497" s="39"/>
      <c r="F497" s="39"/>
    </row>
    <row r="498" spans="1:6" x14ac:dyDescent="0.25">
      <c r="A498" s="34" t="s">
        <v>168</v>
      </c>
      <c r="B498" s="35"/>
      <c r="C498" s="36"/>
      <c r="D498" s="13">
        <f>SUM(D484:D497)</f>
        <v>23.750999999999998</v>
      </c>
      <c r="E498" s="40"/>
      <c r="F498" s="40"/>
    </row>
    <row r="501" spans="1:6" x14ac:dyDescent="0.25">
      <c r="A501" s="63" t="s">
        <v>212</v>
      </c>
      <c r="B501" s="1" t="s">
        <v>1</v>
      </c>
      <c r="C501" s="1" t="s">
        <v>78</v>
      </c>
      <c r="D501" s="1" t="s">
        <v>3</v>
      </c>
      <c r="E501" s="11" t="s">
        <v>4</v>
      </c>
      <c r="F501" s="1" t="s">
        <v>5</v>
      </c>
    </row>
    <row r="502" spans="1:6" x14ac:dyDescent="0.25">
      <c r="A502" s="63"/>
      <c r="B502" s="1" t="s">
        <v>199</v>
      </c>
      <c r="C502" s="2">
        <v>280</v>
      </c>
      <c r="D502" s="5">
        <v>15.4</v>
      </c>
      <c r="E502" s="28" t="s">
        <v>213</v>
      </c>
      <c r="F502" s="38">
        <v>2.7</v>
      </c>
    </row>
    <row r="503" spans="1:6" x14ac:dyDescent="0.25">
      <c r="A503" s="63"/>
      <c r="B503" s="1" t="s">
        <v>180</v>
      </c>
      <c r="C503" s="6" t="s">
        <v>84</v>
      </c>
      <c r="D503" s="5">
        <v>0.35</v>
      </c>
      <c r="E503" s="28"/>
      <c r="F503" s="39"/>
    </row>
    <row r="504" spans="1:6" x14ac:dyDescent="0.25">
      <c r="A504" s="63"/>
      <c r="B504" s="1" t="s">
        <v>181</v>
      </c>
      <c r="C504" s="6" t="s">
        <v>10</v>
      </c>
      <c r="D504" s="5">
        <v>0.68</v>
      </c>
      <c r="E504" s="28"/>
      <c r="F504" s="39"/>
    </row>
    <row r="505" spans="1:6" x14ac:dyDescent="0.25">
      <c r="A505" s="63"/>
      <c r="B505" s="1" t="s">
        <v>182</v>
      </c>
      <c r="C505" s="6" t="s">
        <v>16</v>
      </c>
      <c r="D505" s="5">
        <v>1.5</v>
      </c>
      <c r="E505" s="28"/>
      <c r="F505" s="39"/>
    </row>
    <row r="506" spans="1:6" x14ac:dyDescent="0.25">
      <c r="A506" s="63"/>
      <c r="B506" s="1" t="s">
        <v>183</v>
      </c>
      <c r="C506" s="1" t="s">
        <v>14</v>
      </c>
      <c r="D506" s="5">
        <v>0.3</v>
      </c>
      <c r="E506" s="28"/>
      <c r="F506" s="39"/>
    </row>
    <row r="507" spans="1:6" x14ac:dyDescent="0.25">
      <c r="A507" s="63"/>
      <c r="B507" s="1" t="s">
        <v>184</v>
      </c>
      <c r="C507" s="1" t="s">
        <v>14</v>
      </c>
      <c r="D507" s="5">
        <v>0.44</v>
      </c>
      <c r="E507" s="28"/>
      <c r="F507" s="39"/>
    </row>
    <row r="508" spans="1:6" x14ac:dyDescent="0.25">
      <c r="A508" s="63"/>
      <c r="B508" s="1" t="s">
        <v>185</v>
      </c>
      <c r="C508" s="1" t="s">
        <v>144</v>
      </c>
      <c r="D508" s="5">
        <v>0.22</v>
      </c>
      <c r="E508" s="28"/>
      <c r="F508" s="39"/>
    </row>
    <row r="509" spans="1:6" x14ac:dyDescent="0.25">
      <c r="A509" s="63"/>
      <c r="B509" s="1" t="s">
        <v>186</v>
      </c>
      <c r="C509" s="1" t="s">
        <v>10</v>
      </c>
      <c r="D509" s="5">
        <v>1.5</v>
      </c>
      <c r="E509" s="28"/>
      <c r="F509" s="39"/>
    </row>
    <row r="510" spans="1:6" x14ac:dyDescent="0.25">
      <c r="A510" s="63"/>
      <c r="B510" s="1" t="s">
        <v>103</v>
      </c>
      <c r="C510" s="1"/>
      <c r="D510" s="5">
        <v>0.2</v>
      </c>
      <c r="E510" s="28"/>
      <c r="F510" s="39"/>
    </row>
    <row r="511" spans="1:6" x14ac:dyDescent="0.25">
      <c r="A511" s="63"/>
      <c r="B511" s="1" t="s">
        <v>214</v>
      </c>
      <c r="C511" s="1" t="s">
        <v>10</v>
      </c>
      <c r="D511" s="5">
        <v>1</v>
      </c>
      <c r="E511" s="28"/>
      <c r="F511" s="39"/>
    </row>
    <row r="512" spans="1:6" x14ac:dyDescent="0.25">
      <c r="A512" s="63"/>
      <c r="B512" s="1" t="s">
        <v>193</v>
      </c>
      <c r="C512" s="1" t="s">
        <v>10</v>
      </c>
      <c r="D512" s="5">
        <v>2.4</v>
      </c>
      <c r="E512" s="28"/>
      <c r="F512" s="39"/>
    </row>
    <row r="513" spans="1:6" x14ac:dyDescent="0.25">
      <c r="A513" s="63"/>
      <c r="B513" s="1" t="s">
        <v>109</v>
      </c>
      <c r="C513" s="1" t="s">
        <v>10</v>
      </c>
      <c r="D513" s="5">
        <v>0.3</v>
      </c>
      <c r="E513" s="28"/>
      <c r="F513" s="39"/>
    </row>
    <row r="514" spans="1:6" x14ac:dyDescent="0.25">
      <c r="A514" s="63"/>
      <c r="B514" s="1" t="s">
        <v>110</v>
      </c>
      <c r="C514" s="1" t="s">
        <v>10</v>
      </c>
      <c r="D514" s="5">
        <v>0.1</v>
      </c>
      <c r="E514" s="28"/>
      <c r="F514" s="39"/>
    </row>
    <row r="515" spans="1:6" x14ac:dyDescent="0.25">
      <c r="A515" s="34" t="s">
        <v>168</v>
      </c>
      <c r="B515" s="35"/>
      <c r="C515" s="36"/>
      <c r="D515" s="13">
        <f>SUM(D501:D514)</f>
        <v>24.39</v>
      </c>
      <c r="E515" s="28"/>
      <c r="F515" s="40"/>
    </row>
    <row r="516" spans="1:6" x14ac:dyDescent="0.25">
      <c r="F516" s="14"/>
    </row>
    <row r="517" spans="1:6" x14ac:dyDescent="0.25">
      <c r="A517" s="63" t="s">
        <v>215</v>
      </c>
      <c r="B517" s="1" t="s">
        <v>1</v>
      </c>
      <c r="C517" s="1" t="s">
        <v>78</v>
      </c>
      <c r="D517" s="1" t="s">
        <v>3</v>
      </c>
      <c r="E517" s="11" t="s">
        <v>4</v>
      </c>
      <c r="F517" s="1" t="s">
        <v>5</v>
      </c>
    </row>
    <row r="518" spans="1:6" x14ac:dyDescent="0.25">
      <c r="A518" s="63"/>
      <c r="B518" s="1" t="s">
        <v>199</v>
      </c>
      <c r="C518" s="2" t="s">
        <v>205</v>
      </c>
      <c r="D518" s="5">
        <v>15.4</v>
      </c>
      <c r="E518" s="28" t="s">
        <v>216</v>
      </c>
      <c r="F518" s="28">
        <v>2.7</v>
      </c>
    </row>
    <row r="519" spans="1:6" x14ac:dyDescent="0.25">
      <c r="A519" s="63"/>
      <c r="B519" s="1" t="s">
        <v>180</v>
      </c>
      <c r="C519" s="6" t="s">
        <v>84</v>
      </c>
      <c r="D519" s="5">
        <v>0.35</v>
      </c>
      <c r="E519" s="28"/>
      <c r="F519" s="28"/>
    </row>
    <row r="520" spans="1:6" x14ac:dyDescent="0.25">
      <c r="A520" s="63"/>
      <c r="B520" s="1" t="s">
        <v>181</v>
      </c>
      <c r="C520" s="6" t="s">
        <v>10</v>
      </c>
      <c r="D520" s="5">
        <v>0.68</v>
      </c>
      <c r="E520" s="28"/>
      <c r="F520" s="28"/>
    </row>
    <row r="521" spans="1:6" x14ac:dyDescent="0.25">
      <c r="A521" s="63"/>
      <c r="B521" s="1" t="s">
        <v>182</v>
      </c>
      <c r="C521" s="6" t="s">
        <v>16</v>
      </c>
      <c r="D521" s="5">
        <v>1.5</v>
      </c>
      <c r="E521" s="28"/>
      <c r="F521" s="28"/>
    </row>
    <row r="522" spans="1:6" x14ac:dyDescent="0.25">
      <c r="A522" s="63"/>
      <c r="B522" s="1" t="s">
        <v>183</v>
      </c>
      <c r="C522" s="1" t="s">
        <v>14</v>
      </c>
      <c r="D522" s="5">
        <v>0.3</v>
      </c>
      <c r="E522" s="28"/>
      <c r="F522" s="28"/>
    </row>
    <row r="523" spans="1:6" x14ac:dyDescent="0.25">
      <c r="A523" s="63"/>
      <c r="B523" s="1" t="s">
        <v>184</v>
      </c>
      <c r="C523" s="1" t="s">
        <v>14</v>
      </c>
      <c r="D523" s="5">
        <v>0.44</v>
      </c>
      <c r="E523" s="28"/>
      <c r="F523" s="28"/>
    </row>
    <row r="524" spans="1:6" x14ac:dyDescent="0.25">
      <c r="A524" s="63"/>
      <c r="B524" s="1" t="s">
        <v>185</v>
      </c>
      <c r="C524" s="1" t="s">
        <v>144</v>
      </c>
      <c r="D524" s="5">
        <v>0.22</v>
      </c>
      <c r="E524" s="28"/>
      <c r="F524" s="28"/>
    </row>
    <row r="525" spans="1:6" x14ac:dyDescent="0.25">
      <c r="A525" s="63"/>
      <c r="B525" s="1" t="s">
        <v>186</v>
      </c>
      <c r="C525" s="1" t="s">
        <v>10</v>
      </c>
      <c r="D525" s="5">
        <v>1.5</v>
      </c>
      <c r="E525" s="28"/>
      <c r="F525" s="28"/>
    </row>
    <row r="526" spans="1:6" x14ac:dyDescent="0.25">
      <c r="A526" s="63"/>
      <c r="B526" s="1" t="s">
        <v>103</v>
      </c>
      <c r="C526" s="1"/>
      <c r="D526" s="5">
        <v>0.2</v>
      </c>
      <c r="E526" s="28"/>
      <c r="F526" s="28"/>
    </row>
    <row r="527" spans="1:6" x14ac:dyDescent="0.25">
      <c r="A527" s="63"/>
      <c r="B527" s="1" t="s">
        <v>56</v>
      </c>
      <c r="C527" s="1" t="s">
        <v>40</v>
      </c>
      <c r="D527" s="5"/>
      <c r="E527" s="28"/>
      <c r="F527" s="28"/>
    </row>
    <row r="528" spans="1:6" x14ac:dyDescent="0.25">
      <c r="A528" s="63"/>
      <c r="B528" s="1" t="s">
        <v>193</v>
      </c>
      <c r="C528" s="1" t="s">
        <v>12</v>
      </c>
      <c r="D528" s="5">
        <v>1.2</v>
      </c>
      <c r="E528" s="28"/>
      <c r="F528" s="28"/>
    </row>
    <row r="529" spans="1:6" x14ac:dyDescent="0.25">
      <c r="A529" s="63"/>
      <c r="B529" s="1" t="s">
        <v>217</v>
      </c>
      <c r="C529" s="1" t="s">
        <v>144</v>
      </c>
      <c r="D529" s="5"/>
      <c r="E529" s="28"/>
      <c r="F529" s="28"/>
    </row>
    <row r="530" spans="1:6" x14ac:dyDescent="0.25">
      <c r="A530" s="63"/>
      <c r="B530" s="1" t="s">
        <v>99</v>
      </c>
      <c r="C530" s="1" t="s">
        <v>145</v>
      </c>
      <c r="D530" s="5">
        <v>0.215</v>
      </c>
      <c r="E530" s="28"/>
      <c r="F530" s="28"/>
    </row>
    <row r="531" spans="1:6" x14ac:dyDescent="0.25">
      <c r="A531" s="34" t="s">
        <v>168</v>
      </c>
      <c r="B531" s="35"/>
      <c r="C531" s="36"/>
      <c r="D531" s="13">
        <f>SUM(D517:D530)</f>
        <v>22.004999999999999</v>
      </c>
      <c r="E531" s="28"/>
      <c r="F531" s="28"/>
    </row>
    <row r="533" spans="1:6" x14ac:dyDescent="0.25">
      <c r="A533" s="63" t="s">
        <v>218</v>
      </c>
      <c r="B533" s="1" t="s">
        <v>1</v>
      </c>
      <c r="C533" s="1" t="s">
        <v>78</v>
      </c>
      <c r="D533" s="1" t="s">
        <v>3</v>
      </c>
      <c r="E533" s="11" t="s">
        <v>4</v>
      </c>
      <c r="F533" s="1" t="s">
        <v>5</v>
      </c>
    </row>
    <row r="534" spans="1:6" x14ac:dyDescent="0.25">
      <c r="A534" s="63"/>
      <c r="B534" s="1" t="s">
        <v>219</v>
      </c>
      <c r="C534" s="2" t="s">
        <v>220</v>
      </c>
      <c r="D534" s="5">
        <v>23.2</v>
      </c>
      <c r="E534" s="28">
        <v>66.5</v>
      </c>
      <c r="F534" s="28">
        <v>2.2999999999999998</v>
      </c>
    </row>
    <row r="535" spans="1:6" x14ac:dyDescent="0.25">
      <c r="A535" s="63"/>
      <c r="B535" s="1" t="s">
        <v>180</v>
      </c>
      <c r="C535" s="6" t="s">
        <v>84</v>
      </c>
      <c r="D535" s="5">
        <v>0.35</v>
      </c>
      <c r="E535" s="28"/>
      <c r="F535" s="28"/>
    </row>
    <row r="536" spans="1:6" x14ac:dyDescent="0.25">
      <c r="A536" s="63"/>
      <c r="B536" s="1" t="s">
        <v>181</v>
      </c>
      <c r="C536" s="6" t="s">
        <v>10</v>
      </c>
      <c r="D536" s="5">
        <v>0.68</v>
      </c>
      <c r="E536" s="28"/>
      <c r="F536" s="28"/>
    </row>
    <row r="537" spans="1:6" x14ac:dyDescent="0.25">
      <c r="A537" s="63"/>
      <c r="B537" s="1" t="s">
        <v>182</v>
      </c>
      <c r="C537" s="6" t="s">
        <v>16</v>
      </c>
      <c r="D537" s="5">
        <v>1.5</v>
      </c>
      <c r="E537" s="28"/>
      <c r="F537" s="28"/>
    </row>
    <row r="538" spans="1:6" x14ac:dyDescent="0.25">
      <c r="A538" s="63"/>
      <c r="B538" s="1" t="s">
        <v>183</v>
      </c>
      <c r="C538" s="1" t="s">
        <v>14</v>
      </c>
      <c r="D538" s="5">
        <v>0.3</v>
      </c>
      <c r="E538" s="28"/>
      <c r="F538" s="28"/>
    </row>
    <row r="539" spans="1:6" x14ac:dyDescent="0.25">
      <c r="A539" s="63"/>
      <c r="B539" s="1" t="s">
        <v>184</v>
      </c>
      <c r="C539" s="1" t="s">
        <v>14</v>
      </c>
      <c r="D539" s="5">
        <v>0.44</v>
      </c>
      <c r="E539" s="28"/>
      <c r="F539" s="28"/>
    </row>
    <row r="540" spans="1:6" x14ac:dyDescent="0.25">
      <c r="A540" s="63"/>
      <c r="B540" s="1" t="s">
        <v>185</v>
      </c>
      <c r="C540" s="1" t="s">
        <v>144</v>
      </c>
      <c r="D540" s="5">
        <v>0.22</v>
      </c>
      <c r="E540" s="28"/>
      <c r="F540" s="28"/>
    </row>
    <row r="541" spans="1:6" x14ac:dyDescent="0.25">
      <c r="A541" s="63"/>
      <c r="B541" s="1" t="s">
        <v>103</v>
      </c>
      <c r="C541" s="1"/>
      <c r="D541" s="5"/>
      <c r="E541" s="28"/>
      <c r="F541" s="28"/>
    </row>
    <row r="542" spans="1:6" x14ac:dyDescent="0.25">
      <c r="A542" s="63"/>
      <c r="B542" s="1" t="s">
        <v>112</v>
      </c>
      <c r="C542" s="1"/>
      <c r="D542" s="5"/>
      <c r="E542" s="28"/>
      <c r="F542" s="28"/>
    </row>
    <row r="543" spans="1:6" x14ac:dyDescent="0.25">
      <c r="A543" s="63"/>
      <c r="B543" s="1" t="s">
        <v>120</v>
      </c>
      <c r="C543" s="1"/>
      <c r="D543" s="5">
        <v>1</v>
      </c>
      <c r="E543" s="28"/>
      <c r="F543" s="28"/>
    </row>
    <row r="544" spans="1:6" x14ac:dyDescent="0.25">
      <c r="A544" s="63"/>
      <c r="B544" s="1" t="s">
        <v>111</v>
      </c>
      <c r="C544" s="1"/>
      <c r="D544" s="5"/>
      <c r="E544" s="28"/>
      <c r="F544" s="28"/>
    </row>
    <row r="545" spans="1:6" x14ac:dyDescent="0.25">
      <c r="A545" s="63"/>
      <c r="B545" s="1" t="s">
        <v>221</v>
      </c>
      <c r="C545" s="1"/>
      <c r="D545" s="5"/>
      <c r="E545" s="28"/>
      <c r="F545" s="28"/>
    </row>
    <row r="546" spans="1:6" x14ac:dyDescent="0.25">
      <c r="A546" s="63"/>
      <c r="B546" s="1" t="s">
        <v>222</v>
      </c>
      <c r="C546" s="1" t="s">
        <v>10</v>
      </c>
      <c r="D546" s="5">
        <v>1.5</v>
      </c>
      <c r="E546" s="28"/>
      <c r="F546" s="28"/>
    </row>
    <row r="547" spans="1:6" x14ac:dyDescent="0.25">
      <c r="A547" s="34" t="s">
        <v>168</v>
      </c>
      <c r="B547" s="35"/>
      <c r="C547" s="36"/>
      <c r="D547" s="13">
        <f>SUM(D533:D546)</f>
        <v>29.19</v>
      </c>
      <c r="E547" s="28"/>
      <c r="F547" s="28"/>
    </row>
    <row r="551" spans="1:6" x14ac:dyDescent="0.25">
      <c r="A551" s="63" t="s">
        <v>223</v>
      </c>
      <c r="B551" s="1" t="s">
        <v>1</v>
      </c>
      <c r="C551" s="1" t="s">
        <v>78</v>
      </c>
      <c r="D551" s="1" t="s">
        <v>3</v>
      </c>
      <c r="E551" s="11" t="s">
        <v>4</v>
      </c>
      <c r="F551" s="1" t="s">
        <v>5</v>
      </c>
    </row>
    <row r="552" spans="1:6" x14ac:dyDescent="0.25">
      <c r="A552" s="63"/>
      <c r="B552" s="1" t="s">
        <v>224</v>
      </c>
      <c r="C552" s="2" t="s">
        <v>220</v>
      </c>
      <c r="D552" s="5">
        <v>23.2</v>
      </c>
      <c r="E552" s="28">
        <v>63</v>
      </c>
      <c r="F552" s="28">
        <v>2.5</v>
      </c>
    </row>
    <row r="553" spans="1:6" x14ac:dyDescent="0.25">
      <c r="A553" s="63"/>
      <c r="B553" s="1" t="s">
        <v>225</v>
      </c>
      <c r="C553" s="6" t="s">
        <v>132</v>
      </c>
      <c r="D553" s="5">
        <v>0.1</v>
      </c>
      <c r="E553" s="28"/>
      <c r="F553" s="28"/>
    </row>
    <row r="554" spans="1:6" x14ac:dyDescent="0.25">
      <c r="A554" s="63"/>
      <c r="B554" s="1" t="s">
        <v>119</v>
      </c>
      <c r="C554" s="6" t="s">
        <v>81</v>
      </c>
      <c r="D554" s="5">
        <v>0.3</v>
      </c>
      <c r="E554" s="28"/>
      <c r="F554" s="28"/>
    </row>
    <row r="555" spans="1:6" x14ac:dyDescent="0.25">
      <c r="A555" s="63"/>
      <c r="B555" s="1" t="s">
        <v>69</v>
      </c>
      <c r="C555" s="6" t="s">
        <v>16</v>
      </c>
      <c r="D555" s="5">
        <v>0.5</v>
      </c>
      <c r="E555" s="28"/>
      <c r="F555" s="28"/>
    </row>
    <row r="556" spans="1:6" x14ac:dyDescent="0.25">
      <c r="A556" s="63"/>
      <c r="B556" s="1" t="s">
        <v>140</v>
      </c>
      <c r="C556" s="1" t="s">
        <v>40</v>
      </c>
      <c r="D556" s="5">
        <v>0.1</v>
      </c>
      <c r="E556" s="28"/>
      <c r="F556" s="28"/>
    </row>
    <row r="557" spans="1:6" x14ac:dyDescent="0.25">
      <c r="A557" s="63"/>
      <c r="B557" s="1" t="s">
        <v>104</v>
      </c>
      <c r="C557" s="1" t="s">
        <v>40</v>
      </c>
      <c r="D557" s="5">
        <v>0.2</v>
      </c>
      <c r="E557" s="28"/>
      <c r="F557" s="28"/>
    </row>
    <row r="558" spans="1:6" x14ac:dyDescent="0.25">
      <c r="A558" s="63"/>
      <c r="B558" s="1" t="s">
        <v>59</v>
      </c>
      <c r="C558" s="1" t="s">
        <v>14</v>
      </c>
      <c r="D558" s="5">
        <v>0.4</v>
      </c>
      <c r="E558" s="28"/>
      <c r="F558" s="28"/>
    </row>
    <row r="559" spans="1:6" x14ac:dyDescent="0.25">
      <c r="A559" s="63"/>
      <c r="B559" s="1" t="s">
        <v>103</v>
      </c>
      <c r="C559" s="1"/>
      <c r="D559" s="5">
        <v>0.2</v>
      </c>
      <c r="E559" s="28"/>
      <c r="F559" s="28"/>
    </row>
    <row r="560" spans="1:6" x14ac:dyDescent="0.25">
      <c r="A560" s="63"/>
      <c r="B560" s="1" t="s">
        <v>120</v>
      </c>
      <c r="C560" s="1"/>
      <c r="D560" s="5"/>
      <c r="E560" s="28"/>
      <c r="F560" s="28"/>
    </row>
    <row r="561" spans="1:6" x14ac:dyDescent="0.25">
      <c r="A561" s="63"/>
      <c r="B561" s="1" t="s">
        <v>226</v>
      </c>
      <c r="C561" s="1" t="s">
        <v>227</v>
      </c>
      <c r="D561" s="5">
        <v>0.2</v>
      </c>
      <c r="E561" s="28"/>
      <c r="F561" s="28"/>
    </row>
    <row r="562" spans="1:6" x14ac:dyDescent="0.25">
      <c r="A562" s="34" t="s">
        <v>168</v>
      </c>
      <c r="B562" s="35"/>
      <c r="C562" s="36"/>
      <c r="D562" s="13">
        <f>SUM(D552:D561)</f>
        <v>25.2</v>
      </c>
      <c r="E562" s="28"/>
      <c r="F562" s="28"/>
    </row>
    <row r="564" spans="1:6" x14ac:dyDescent="0.25">
      <c r="A564" s="63" t="s">
        <v>228</v>
      </c>
      <c r="B564" s="1" t="s">
        <v>1</v>
      </c>
      <c r="C564" s="1" t="s">
        <v>78</v>
      </c>
      <c r="D564" s="1" t="s">
        <v>3</v>
      </c>
      <c r="E564" s="11" t="s">
        <v>4</v>
      </c>
      <c r="F564" s="1" t="s">
        <v>5</v>
      </c>
    </row>
    <row r="565" spans="1:6" x14ac:dyDescent="0.25">
      <c r="A565" s="63"/>
      <c r="B565" s="1" t="s">
        <v>229</v>
      </c>
      <c r="C565" s="2" t="s">
        <v>230</v>
      </c>
      <c r="D565" s="5">
        <v>7.4</v>
      </c>
      <c r="E565" s="28">
        <v>32500</v>
      </c>
      <c r="F565" s="28">
        <v>2.6</v>
      </c>
    </row>
    <row r="566" spans="1:6" x14ac:dyDescent="0.25">
      <c r="A566" s="63"/>
      <c r="B566" s="1" t="s">
        <v>180</v>
      </c>
      <c r="C566" s="6" t="s">
        <v>84</v>
      </c>
      <c r="D566" s="5">
        <v>0.35</v>
      </c>
      <c r="E566" s="28"/>
      <c r="F566" s="28"/>
    </row>
    <row r="567" spans="1:6" x14ac:dyDescent="0.25">
      <c r="A567" s="63"/>
      <c r="B567" s="1" t="s">
        <v>181</v>
      </c>
      <c r="C567" s="6" t="s">
        <v>10</v>
      </c>
      <c r="D567" s="5">
        <v>0.68</v>
      </c>
      <c r="E567" s="28"/>
      <c r="F567" s="28"/>
    </row>
    <row r="568" spans="1:6" x14ac:dyDescent="0.25">
      <c r="A568" s="63"/>
      <c r="B568" s="1" t="s">
        <v>182</v>
      </c>
      <c r="C568" s="6" t="s">
        <v>16</v>
      </c>
      <c r="D568" s="5">
        <v>1.5</v>
      </c>
      <c r="E568" s="28"/>
      <c r="F568" s="28"/>
    </row>
    <row r="569" spans="1:6" x14ac:dyDescent="0.25">
      <c r="A569" s="63"/>
      <c r="B569" s="1" t="s">
        <v>183</v>
      </c>
      <c r="C569" s="1" t="s">
        <v>14</v>
      </c>
      <c r="D569" s="5">
        <v>0.3</v>
      </c>
      <c r="E569" s="28"/>
      <c r="F569" s="28"/>
    </row>
    <row r="570" spans="1:6" x14ac:dyDescent="0.25">
      <c r="A570" s="63"/>
      <c r="B570" s="1" t="s">
        <v>184</v>
      </c>
      <c r="C570" s="1" t="s">
        <v>14</v>
      </c>
      <c r="D570" s="5">
        <v>0.44</v>
      </c>
      <c r="E570" s="28"/>
      <c r="F570" s="28"/>
    </row>
    <row r="571" spans="1:6" x14ac:dyDescent="0.25">
      <c r="A571" s="63"/>
      <c r="B571" s="1" t="s">
        <v>185</v>
      </c>
      <c r="C571" s="1" t="s">
        <v>144</v>
      </c>
      <c r="D571" s="5">
        <v>0.22</v>
      </c>
      <c r="E571" s="28"/>
      <c r="F571" s="28"/>
    </row>
    <row r="572" spans="1:6" x14ac:dyDescent="0.25">
      <c r="A572" s="63"/>
      <c r="B572" s="1" t="s">
        <v>186</v>
      </c>
      <c r="C572" s="1" t="s">
        <v>10</v>
      </c>
      <c r="D572" s="5">
        <v>1.5</v>
      </c>
      <c r="E572" s="28"/>
      <c r="F572" s="28"/>
    </row>
    <row r="573" spans="1:6" x14ac:dyDescent="0.25">
      <c r="A573" s="63"/>
      <c r="B573" s="1" t="s">
        <v>103</v>
      </c>
      <c r="C573" s="1"/>
      <c r="D573" s="5">
        <v>0.2</v>
      </c>
      <c r="E573" s="28"/>
      <c r="F573" s="28"/>
    </row>
    <row r="574" spans="1:6" x14ac:dyDescent="0.25">
      <c r="A574" s="34" t="s">
        <v>168</v>
      </c>
      <c r="B574" s="35"/>
      <c r="C574" s="36"/>
      <c r="D574" s="13">
        <f>SUM(D565:D573)</f>
        <v>12.59</v>
      </c>
      <c r="E574" s="28"/>
      <c r="F574" s="28"/>
    </row>
    <row r="576" spans="1:6" x14ac:dyDescent="0.25">
      <c r="A576" s="17" t="s">
        <v>231</v>
      </c>
      <c r="B576" s="1" t="s">
        <v>1</v>
      </c>
      <c r="C576" s="1" t="s">
        <v>78</v>
      </c>
      <c r="D576" s="1" t="s">
        <v>3</v>
      </c>
      <c r="E576" s="11" t="s">
        <v>4</v>
      </c>
      <c r="F576" s="1" t="s">
        <v>5</v>
      </c>
    </row>
    <row r="577" spans="1:6" x14ac:dyDescent="0.25">
      <c r="A577" s="18"/>
      <c r="B577" s="1" t="s">
        <v>232</v>
      </c>
      <c r="C577" s="2" t="s">
        <v>230</v>
      </c>
      <c r="D577" s="5">
        <v>8.4</v>
      </c>
      <c r="E577" s="28">
        <v>33500</v>
      </c>
      <c r="F577" s="28">
        <v>2.5</v>
      </c>
    </row>
    <row r="578" spans="1:6" x14ac:dyDescent="0.25">
      <c r="A578" s="18"/>
      <c r="B578" s="1" t="s">
        <v>180</v>
      </c>
      <c r="C578" s="6" t="s">
        <v>84</v>
      </c>
      <c r="D578" s="5">
        <v>0.35</v>
      </c>
      <c r="E578" s="28"/>
      <c r="F578" s="28"/>
    </row>
    <row r="579" spans="1:6" x14ac:dyDescent="0.25">
      <c r="A579" s="18"/>
      <c r="B579" s="1" t="s">
        <v>181</v>
      </c>
      <c r="C579" s="6" t="s">
        <v>10</v>
      </c>
      <c r="D579" s="5">
        <v>0.68</v>
      </c>
      <c r="E579" s="28"/>
      <c r="F579" s="28"/>
    </row>
    <row r="580" spans="1:6" x14ac:dyDescent="0.25">
      <c r="A580" s="18"/>
      <c r="B580" s="1" t="s">
        <v>182</v>
      </c>
      <c r="C580" s="6" t="s">
        <v>16</v>
      </c>
      <c r="D580" s="5">
        <v>1.5</v>
      </c>
      <c r="E580" s="28"/>
      <c r="F580" s="28"/>
    </row>
    <row r="581" spans="1:6" x14ac:dyDescent="0.25">
      <c r="A581" s="18"/>
      <c r="B581" s="1" t="s">
        <v>183</v>
      </c>
      <c r="C581" s="1" t="s">
        <v>14</v>
      </c>
      <c r="D581" s="5">
        <v>0.3</v>
      </c>
      <c r="E581" s="28"/>
      <c r="F581" s="28"/>
    </row>
    <row r="582" spans="1:6" x14ac:dyDescent="0.25">
      <c r="A582" s="18"/>
      <c r="B582" s="1" t="s">
        <v>184</v>
      </c>
      <c r="C582" s="1" t="s">
        <v>14</v>
      </c>
      <c r="D582" s="5">
        <v>0.44</v>
      </c>
      <c r="E582" s="28"/>
      <c r="F582" s="28"/>
    </row>
    <row r="583" spans="1:6" x14ac:dyDescent="0.25">
      <c r="A583" s="18"/>
      <c r="B583" s="1" t="s">
        <v>185</v>
      </c>
      <c r="C583" s="1" t="s">
        <v>144</v>
      </c>
      <c r="D583" s="5">
        <v>0.22</v>
      </c>
      <c r="E583" s="28"/>
      <c r="F583" s="28"/>
    </row>
    <row r="584" spans="1:6" x14ac:dyDescent="0.25">
      <c r="A584" s="18"/>
      <c r="B584" s="1" t="s">
        <v>186</v>
      </c>
      <c r="C584" s="1" t="s">
        <v>10</v>
      </c>
      <c r="D584" s="5">
        <v>1.5</v>
      </c>
      <c r="E584" s="28"/>
      <c r="F584" s="28"/>
    </row>
    <row r="585" spans="1:6" x14ac:dyDescent="0.25">
      <c r="A585" s="18"/>
      <c r="B585" s="1" t="s">
        <v>103</v>
      </c>
      <c r="C585" s="1"/>
      <c r="D585" s="5"/>
      <c r="E585" s="28"/>
      <c r="F585" s="28"/>
    </row>
    <row r="586" spans="1:6" x14ac:dyDescent="0.25">
      <c r="A586" s="34" t="s">
        <v>168</v>
      </c>
      <c r="B586" s="35"/>
      <c r="C586" s="36"/>
      <c r="D586" s="13">
        <f>SUM(D577:D585)</f>
        <v>13.39</v>
      </c>
      <c r="E586" s="28"/>
      <c r="F586" s="28"/>
    </row>
    <row r="588" spans="1:6" x14ac:dyDescent="0.25">
      <c r="A588" s="17" t="s">
        <v>233</v>
      </c>
      <c r="B588" s="1" t="s">
        <v>1</v>
      </c>
      <c r="C588" s="1" t="s">
        <v>78</v>
      </c>
      <c r="D588" s="1" t="s">
        <v>3</v>
      </c>
      <c r="E588" s="11" t="s">
        <v>4</v>
      </c>
      <c r="F588" s="1" t="s">
        <v>5</v>
      </c>
    </row>
    <row r="589" spans="1:6" x14ac:dyDescent="0.25">
      <c r="A589" s="18"/>
      <c r="B589" s="1" t="s">
        <v>130</v>
      </c>
      <c r="C589" s="2" t="s">
        <v>234</v>
      </c>
      <c r="D589" s="5">
        <v>15</v>
      </c>
      <c r="E589" s="28">
        <v>44500</v>
      </c>
      <c r="F589" s="28">
        <v>2.2000000000000002</v>
      </c>
    </row>
    <row r="590" spans="1:6" x14ac:dyDescent="0.25">
      <c r="A590" s="18"/>
      <c r="B590" s="1" t="s">
        <v>180</v>
      </c>
      <c r="C590" s="6" t="s">
        <v>84</v>
      </c>
      <c r="D590" s="5">
        <v>0.35</v>
      </c>
      <c r="E590" s="28"/>
      <c r="F590" s="28"/>
    </row>
    <row r="591" spans="1:6" x14ac:dyDescent="0.25">
      <c r="A591" s="18"/>
      <c r="B591" s="1" t="s">
        <v>181</v>
      </c>
      <c r="C591" s="6" t="s">
        <v>10</v>
      </c>
      <c r="D591" s="5">
        <v>0.68</v>
      </c>
      <c r="E591" s="28"/>
      <c r="F591" s="28"/>
    </row>
    <row r="592" spans="1:6" x14ac:dyDescent="0.25">
      <c r="A592" s="18"/>
      <c r="B592" s="1" t="s">
        <v>182</v>
      </c>
      <c r="C592" s="6" t="s">
        <v>16</v>
      </c>
      <c r="D592" s="5">
        <v>1.5</v>
      </c>
      <c r="E592" s="28"/>
      <c r="F592" s="28"/>
    </row>
    <row r="593" spans="1:6" x14ac:dyDescent="0.25">
      <c r="A593" s="18"/>
      <c r="B593" s="1" t="s">
        <v>183</v>
      </c>
      <c r="C593" s="1" t="s">
        <v>14</v>
      </c>
      <c r="D593" s="5">
        <v>0.3</v>
      </c>
      <c r="E593" s="28"/>
      <c r="F593" s="28"/>
    </row>
    <row r="594" spans="1:6" x14ac:dyDescent="0.25">
      <c r="A594" s="18"/>
      <c r="B594" s="1" t="s">
        <v>184</v>
      </c>
      <c r="C594" s="1" t="s">
        <v>14</v>
      </c>
      <c r="D594" s="5">
        <v>0.44</v>
      </c>
      <c r="E594" s="28"/>
      <c r="F594" s="28"/>
    </row>
    <row r="595" spans="1:6" x14ac:dyDescent="0.25">
      <c r="A595" s="18"/>
      <c r="B595" s="1" t="s">
        <v>185</v>
      </c>
      <c r="C595" s="1" t="s">
        <v>144</v>
      </c>
      <c r="D595" s="5">
        <v>0.22</v>
      </c>
      <c r="E595" s="28"/>
      <c r="F595" s="28"/>
    </row>
    <row r="596" spans="1:6" x14ac:dyDescent="0.25">
      <c r="A596" s="18"/>
      <c r="B596" s="1" t="s">
        <v>186</v>
      </c>
      <c r="C596" s="1" t="s">
        <v>10</v>
      </c>
      <c r="D596" s="5">
        <v>1.5</v>
      </c>
      <c r="E596" s="28"/>
      <c r="F596" s="28"/>
    </row>
    <row r="597" spans="1:6" x14ac:dyDescent="0.25">
      <c r="A597" s="18"/>
      <c r="B597" s="1" t="s">
        <v>103</v>
      </c>
      <c r="C597" s="1"/>
      <c r="D597" s="5">
        <v>0.2</v>
      </c>
      <c r="E597" s="28"/>
      <c r="F597" s="28"/>
    </row>
    <row r="598" spans="1:6" x14ac:dyDescent="0.25">
      <c r="A598" s="34" t="s">
        <v>168</v>
      </c>
      <c r="B598" s="35"/>
      <c r="C598" s="36"/>
      <c r="D598" s="13">
        <f>SUM(D589:D597)</f>
        <v>20.190000000000001</v>
      </c>
      <c r="E598" s="28"/>
      <c r="F598" s="28"/>
    </row>
    <row r="601" spans="1:6" x14ac:dyDescent="0.25">
      <c r="A601" s="17" t="s">
        <v>235</v>
      </c>
      <c r="B601" s="1" t="s">
        <v>1</v>
      </c>
      <c r="C601" s="1" t="s">
        <v>78</v>
      </c>
      <c r="D601" s="1" t="s">
        <v>3</v>
      </c>
      <c r="E601" s="11" t="s">
        <v>4</v>
      </c>
      <c r="F601" s="1" t="s">
        <v>5</v>
      </c>
    </row>
    <row r="602" spans="1:6" x14ac:dyDescent="0.25">
      <c r="A602" s="18"/>
      <c r="B602" s="1" t="s">
        <v>236</v>
      </c>
      <c r="C602" s="2" t="s">
        <v>230</v>
      </c>
      <c r="D602" s="5">
        <v>8.4</v>
      </c>
      <c r="E602" s="38">
        <v>45500</v>
      </c>
      <c r="F602" s="38">
        <v>2.5499999999999998</v>
      </c>
    </row>
    <row r="603" spans="1:6" x14ac:dyDescent="0.25">
      <c r="A603" s="18"/>
      <c r="B603" t="s">
        <v>54</v>
      </c>
      <c r="C603" s="16" t="s">
        <v>237</v>
      </c>
      <c r="D603" s="15">
        <v>1.25</v>
      </c>
      <c r="E603" s="39"/>
      <c r="F603" s="39"/>
    </row>
    <row r="604" spans="1:6" x14ac:dyDescent="0.25">
      <c r="A604" s="18"/>
      <c r="B604" s="1" t="s">
        <v>130</v>
      </c>
      <c r="C604" s="6" t="s">
        <v>238</v>
      </c>
      <c r="D604" s="5">
        <v>3</v>
      </c>
      <c r="E604" s="39"/>
      <c r="F604" s="39"/>
    </row>
    <row r="605" spans="1:6" x14ac:dyDescent="0.25">
      <c r="A605" s="18"/>
      <c r="B605" s="1" t="s">
        <v>117</v>
      </c>
      <c r="C605" s="6" t="s">
        <v>10</v>
      </c>
      <c r="D605" s="5">
        <v>0.1</v>
      </c>
      <c r="E605" s="39"/>
      <c r="F605" s="39"/>
    </row>
    <row r="606" spans="1:6" x14ac:dyDescent="0.25">
      <c r="A606" s="18"/>
      <c r="B606" s="1" t="s">
        <v>104</v>
      </c>
      <c r="C606" s="6" t="s">
        <v>52</v>
      </c>
      <c r="D606" s="5">
        <v>0.5</v>
      </c>
      <c r="E606" s="39"/>
      <c r="F606" s="39"/>
    </row>
    <row r="607" spans="1:6" x14ac:dyDescent="0.25">
      <c r="A607" s="18"/>
      <c r="B607" s="1" t="s">
        <v>59</v>
      </c>
      <c r="C607" s="1" t="s">
        <v>144</v>
      </c>
      <c r="D607" s="5">
        <v>0.2</v>
      </c>
      <c r="E607" s="39"/>
      <c r="F607" s="39"/>
    </row>
    <row r="608" spans="1:6" x14ac:dyDescent="0.25">
      <c r="A608" s="18"/>
      <c r="B608" s="1" t="s">
        <v>72</v>
      </c>
      <c r="C608" s="1" t="s">
        <v>93</v>
      </c>
      <c r="D608" s="5">
        <v>0.15</v>
      </c>
      <c r="E608" s="39"/>
      <c r="F608" s="39"/>
    </row>
    <row r="609" spans="1:6" x14ac:dyDescent="0.25">
      <c r="A609" s="18"/>
      <c r="B609" s="1" t="s">
        <v>128</v>
      </c>
      <c r="C609" s="1" t="s">
        <v>239</v>
      </c>
      <c r="D609" s="5">
        <v>1.25</v>
      </c>
      <c r="E609" s="39"/>
      <c r="F609" s="39"/>
    </row>
    <row r="610" spans="1:6" x14ac:dyDescent="0.25">
      <c r="A610" s="18"/>
      <c r="B610" s="1" t="s">
        <v>110</v>
      </c>
      <c r="C610" s="1" t="s">
        <v>16</v>
      </c>
      <c r="D610" s="5">
        <v>0.1</v>
      </c>
      <c r="E610" s="39"/>
      <c r="F610" s="39"/>
    </row>
    <row r="611" spans="1:6" x14ac:dyDescent="0.25">
      <c r="A611" s="18"/>
      <c r="B611" s="1" t="s">
        <v>103</v>
      </c>
      <c r="C611" s="1"/>
      <c r="D611" s="5">
        <v>0.2</v>
      </c>
      <c r="E611" s="39"/>
      <c r="F611" s="39"/>
    </row>
    <row r="612" spans="1:6" x14ac:dyDescent="0.25">
      <c r="A612" s="18"/>
      <c r="B612" s="1" t="s">
        <v>99</v>
      </c>
      <c r="C612" s="1" t="s">
        <v>240</v>
      </c>
      <c r="D612" s="5">
        <v>0.67500000000000004</v>
      </c>
      <c r="E612" s="39"/>
      <c r="F612" s="39"/>
    </row>
    <row r="613" spans="1:6" x14ac:dyDescent="0.25">
      <c r="A613" s="18"/>
      <c r="B613" s="1" t="s">
        <v>127</v>
      </c>
      <c r="C613" s="1" t="s">
        <v>14</v>
      </c>
      <c r="D613" s="5">
        <v>0.2</v>
      </c>
      <c r="E613" s="39"/>
      <c r="F613" s="39"/>
    </row>
    <row r="614" spans="1:6" x14ac:dyDescent="0.25">
      <c r="A614" s="18"/>
      <c r="B614" s="1" t="s">
        <v>101</v>
      </c>
      <c r="C614" s="1" t="s">
        <v>14</v>
      </c>
      <c r="D614" s="5">
        <v>1.7</v>
      </c>
      <c r="E614" s="39"/>
      <c r="F614" s="39"/>
    </row>
    <row r="615" spans="1:6" x14ac:dyDescent="0.25">
      <c r="A615" s="19"/>
      <c r="B615" s="1" t="s">
        <v>109</v>
      </c>
      <c r="C615" s="1" t="s">
        <v>16</v>
      </c>
      <c r="D615" s="5">
        <v>0.1</v>
      </c>
      <c r="E615" s="39"/>
      <c r="F615" s="39"/>
    </row>
    <row r="616" spans="1:6" x14ac:dyDescent="0.25">
      <c r="A616" s="34" t="s">
        <v>168</v>
      </c>
      <c r="B616" s="35"/>
      <c r="C616" s="36"/>
      <c r="D616" s="13">
        <f>SUM(D602:D615)</f>
        <v>17.824999999999999</v>
      </c>
      <c r="E616" s="40"/>
      <c r="F616" s="40"/>
    </row>
    <row r="618" spans="1:6" x14ac:dyDescent="0.25">
      <c r="A618" s="17" t="s">
        <v>241</v>
      </c>
      <c r="B618" s="1" t="s">
        <v>1</v>
      </c>
      <c r="C618" s="1" t="s">
        <v>78</v>
      </c>
      <c r="D618" s="1" t="s">
        <v>3</v>
      </c>
      <c r="E618" s="11" t="s">
        <v>4</v>
      </c>
      <c r="F618" s="1" t="s">
        <v>5</v>
      </c>
    </row>
    <row r="619" spans="1:6" x14ac:dyDescent="0.25">
      <c r="A619" s="18"/>
      <c r="B619" s="1" t="s">
        <v>130</v>
      </c>
      <c r="C619" s="2" t="s">
        <v>234</v>
      </c>
      <c r="D619" s="5">
        <v>15</v>
      </c>
      <c r="E619" s="28">
        <v>46500</v>
      </c>
      <c r="F619" s="28">
        <v>2.1</v>
      </c>
    </row>
    <row r="620" spans="1:6" x14ac:dyDescent="0.25">
      <c r="A620" s="18"/>
      <c r="B620" s="1" t="s">
        <v>180</v>
      </c>
      <c r="C620" s="6" t="s">
        <v>84</v>
      </c>
      <c r="D620" s="5">
        <v>0.35</v>
      </c>
      <c r="E620" s="28"/>
      <c r="F620" s="28"/>
    </row>
    <row r="621" spans="1:6" x14ac:dyDescent="0.25">
      <c r="A621" s="18"/>
      <c r="B621" s="1" t="s">
        <v>181</v>
      </c>
      <c r="C621" s="6" t="s">
        <v>10</v>
      </c>
      <c r="D621" s="5">
        <v>0.68</v>
      </c>
      <c r="E621" s="28"/>
      <c r="F621" s="28"/>
    </row>
    <row r="622" spans="1:6" x14ac:dyDescent="0.25">
      <c r="A622" s="18"/>
      <c r="B622" s="1" t="s">
        <v>182</v>
      </c>
      <c r="C622" s="6" t="s">
        <v>16</v>
      </c>
      <c r="D622" s="5">
        <v>1.5</v>
      </c>
      <c r="E622" s="28"/>
      <c r="F622" s="28"/>
    </row>
    <row r="623" spans="1:6" x14ac:dyDescent="0.25">
      <c r="A623" s="18"/>
      <c r="B623" s="1" t="s">
        <v>183</v>
      </c>
      <c r="C623" s="1" t="s">
        <v>14</v>
      </c>
      <c r="D623" s="5">
        <v>0.3</v>
      </c>
      <c r="E623" s="28"/>
      <c r="F623" s="28"/>
    </row>
    <row r="624" spans="1:6" x14ac:dyDescent="0.25">
      <c r="A624" s="18"/>
      <c r="B624" s="1" t="s">
        <v>184</v>
      </c>
      <c r="C624" s="1" t="s">
        <v>14</v>
      </c>
      <c r="D624" s="5">
        <v>0.44</v>
      </c>
      <c r="E624" s="28"/>
      <c r="F624" s="28"/>
    </row>
    <row r="625" spans="1:6" x14ac:dyDescent="0.25">
      <c r="A625" s="18"/>
      <c r="B625" s="1" t="s">
        <v>185</v>
      </c>
      <c r="C625" s="1" t="s">
        <v>144</v>
      </c>
      <c r="D625" s="5">
        <v>0.22</v>
      </c>
      <c r="E625" s="28"/>
      <c r="F625" s="28"/>
    </row>
    <row r="626" spans="1:6" x14ac:dyDescent="0.25">
      <c r="A626" s="18"/>
      <c r="B626" s="1" t="s">
        <v>186</v>
      </c>
      <c r="C626" s="1" t="s">
        <v>10</v>
      </c>
      <c r="D626" s="5">
        <v>1.5</v>
      </c>
      <c r="E626" s="28"/>
      <c r="F626" s="28"/>
    </row>
    <row r="627" spans="1:6" x14ac:dyDescent="0.25">
      <c r="A627" s="18"/>
      <c r="B627" s="1" t="s">
        <v>103</v>
      </c>
      <c r="C627" s="1"/>
      <c r="D627" s="5">
        <v>0.1</v>
      </c>
      <c r="E627" s="28"/>
      <c r="F627" s="28"/>
    </row>
    <row r="628" spans="1:6" x14ac:dyDescent="0.25">
      <c r="A628" s="18"/>
      <c r="B628" s="1" t="s">
        <v>99</v>
      </c>
      <c r="C628" s="1" t="s">
        <v>151</v>
      </c>
      <c r="D628" s="5">
        <v>0.46</v>
      </c>
      <c r="E628" s="28"/>
      <c r="F628" s="28"/>
    </row>
    <row r="629" spans="1:6" x14ac:dyDescent="0.25">
      <c r="A629" s="18"/>
      <c r="B629" s="1" t="s">
        <v>127</v>
      </c>
      <c r="C629" s="1" t="s">
        <v>14</v>
      </c>
      <c r="D629" s="5">
        <v>0.2</v>
      </c>
      <c r="E629" s="28"/>
      <c r="F629" s="28"/>
    </row>
    <row r="630" spans="1:6" x14ac:dyDescent="0.25">
      <c r="A630" s="18"/>
      <c r="B630" s="1" t="s">
        <v>101</v>
      </c>
      <c r="C630" s="1" t="s">
        <v>144</v>
      </c>
      <c r="D630" s="5">
        <v>0.85</v>
      </c>
      <c r="E630" s="28"/>
      <c r="F630" s="28"/>
    </row>
    <row r="631" spans="1:6" x14ac:dyDescent="0.25">
      <c r="A631" s="19"/>
      <c r="B631" s="1" t="s">
        <v>104</v>
      </c>
      <c r="C631" s="1" t="s">
        <v>40</v>
      </c>
      <c r="D631" s="5">
        <v>0.2</v>
      </c>
      <c r="E631" s="28"/>
      <c r="F631" s="28"/>
    </row>
    <row r="632" spans="1:6" x14ac:dyDescent="0.25">
      <c r="A632" s="34" t="s">
        <v>168</v>
      </c>
      <c r="B632" s="35"/>
      <c r="C632" s="36"/>
      <c r="D632" s="13">
        <f>SUM(D619:D631)</f>
        <v>21.800000000000004</v>
      </c>
      <c r="E632" s="28"/>
      <c r="F632" s="28"/>
    </row>
    <row r="651" spans="1:6" x14ac:dyDescent="0.25">
      <c r="A651" s="17" t="s">
        <v>242</v>
      </c>
      <c r="B651" s="1" t="s">
        <v>1</v>
      </c>
      <c r="C651" s="1" t="s">
        <v>78</v>
      </c>
      <c r="D651" s="1" t="s">
        <v>3</v>
      </c>
      <c r="E651" s="11" t="s">
        <v>4</v>
      </c>
      <c r="F651" s="1" t="s">
        <v>5</v>
      </c>
    </row>
    <row r="652" spans="1:6" x14ac:dyDescent="0.25">
      <c r="A652" s="18"/>
      <c r="B652" s="1" t="s">
        <v>130</v>
      </c>
      <c r="C652" s="2" t="s">
        <v>243</v>
      </c>
      <c r="D652" s="5"/>
      <c r="E652" s="38" t="s">
        <v>244</v>
      </c>
      <c r="F652" s="38">
        <v>2.5</v>
      </c>
    </row>
    <row r="653" spans="1:6" x14ac:dyDescent="0.25">
      <c r="A653" s="18"/>
      <c r="B653" s="1" t="s">
        <v>54</v>
      </c>
      <c r="C653" s="6" t="s">
        <v>245</v>
      </c>
      <c r="D653" s="5"/>
      <c r="E653" s="39"/>
      <c r="F653" s="39"/>
    </row>
    <row r="654" spans="1:6" x14ac:dyDescent="0.25">
      <c r="A654" s="18"/>
      <c r="B654" s="1" t="s">
        <v>246</v>
      </c>
      <c r="C654" s="6" t="s">
        <v>32</v>
      </c>
      <c r="D654" s="5">
        <v>55</v>
      </c>
      <c r="E654" s="39"/>
      <c r="F654" s="39"/>
    </row>
    <row r="655" spans="1:6" x14ac:dyDescent="0.25">
      <c r="A655" s="18"/>
      <c r="B655" s="1" t="s">
        <v>247</v>
      </c>
      <c r="C655" s="6" t="s">
        <v>10</v>
      </c>
      <c r="D655" s="5"/>
      <c r="E655" s="39"/>
      <c r="F655" s="39"/>
    </row>
    <row r="656" spans="1:6" x14ac:dyDescent="0.25">
      <c r="A656" s="18"/>
      <c r="B656" s="1" t="s">
        <v>98</v>
      </c>
      <c r="C656" s="1" t="s">
        <v>18</v>
      </c>
      <c r="D656" s="5">
        <v>1.5</v>
      </c>
      <c r="E656" s="39"/>
      <c r="F656" s="39"/>
    </row>
    <row r="657" spans="1:6" x14ac:dyDescent="0.25">
      <c r="A657" s="18"/>
      <c r="B657" s="1" t="s">
        <v>134</v>
      </c>
      <c r="C657" s="1" t="s">
        <v>10</v>
      </c>
      <c r="D657" s="5">
        <v>1</v>
      </c>
      <c r="E657" s="39"/>
      <c r="F657" s="39"/>
    </row>
    <row r="658" spans="1:6" x14ac:dyDescent="0.25">
      <c r="A658" s="18"/>
      <c r="B658" s="1" t="s">
        <v>248</v>
      </c>
      <c r="C658" s="1" t="s">
        <v>249</v>
      </c>
      <c r="D658" s="5">
        <v>8.4</v>
      </c>
      <c r="E658" s="39"/>
      <c r="F658" s="39"/>
    </row>
    <row r="659" spans="1:6" x14ac:dyDescent="0.25">
      <c r="A659" s="18"/>
      <c r="B659" s="1" t="s">
        <v>250</v>
      </c>
      <c r="C659" s="1" t="s">
        <v>132</v>
      </c>
      <c r="D659" s="5"/>
      <c r="E659" s="39"/>
      <c r="F659" s="39"/>
    </row>
    <row r="660" spans="1:6" x14ac:dyDescent="0.25">
      <c r="A660" s="18"/>
      <c r="B660" s="1" t="s">
        <v>135</v>
      </c>
      <c r="C660" s="1" t="s">
        <v>26</v>
      </c>
      <c r="D660" s="5">
        <v>0.5</v>
      </c>
      <c r="E660" s="39"/>
      <c r="F660" s="39"/>
    </row>
    <row r="661" spans="1:6" x14ac:dyDescent="0.25">
      <c r="A661" s="18"/>
      <c r="B661" s="1" t="s">
        <v>251</v>
      </c>
      <c r="C661" s="1" t="s">
        <v>252</v>
      </c>
      <c r="D661" s="5"/>
      <c r="E661" s="39"/>
      <c r="F661" s="39"/>
    </row>
    <row r="662" spans="1:6" x14ac:dyDescent="0.25">
      <c r="A662" s="18"/>
      <c r="B662" s="1" t="s">
        <v>253</v>
      </c>
      <c r="C662" s="1" t="s">
        <v>254</v>
      </c>
      <c r="D662" s="5"/>
      <c r="E662" s="39"/>
      <c r="F662" s="39"/>
    </row>
    <row r="663" spans="1:6" x14ac:dyDescent="0.25">
      <c r="A663" s="18"/>
      <c r="B663" s="1" t="s">
        <v>180</v>
      </c>
      <c r="C663" s="1" t="s">
        <v>18</v>
      </c>
      <c r="D663" s="5">
        <v>0.6</v>
      </c>
      <c r="E663" s="39"/>
      <c r="F663" s="39"/>
    </row>
    <row r="664" spans="1:6" x14ac:dyDescent="0.25">
      <c r="A664" s="18"/>
      <c r="B664" s="1" t="s">
        <v>181</v>
      </c>
      <c r="C664" s="1" t="s">
        <v>32</v>
      </c>
      <c r="D664" s="5">
        <v>1.3</v>
      </c>
      <c r="E664" s="39"/>
      <c r="F664" s="39"/>
    </row>
    <row r="665" spans="1:6" x14ac:dyDescent="0.25">
      <c r="A665" s="18"/>
      <c r="B665" s="1" t="s">
        <v>182</v>
      </c>
      <c r="C665" s="1" t="s">
        <v>16</v>
      </c>
      <c r="D665" s="5">
        <v>1.5</v>
      </c>
      <c r="E665" s="39"/>
      <c r="F665" s="39"/>
    </row>
    <row r="666" spans="1:6" x14ac:dyDescent="0.25">
      <c r="A666" s="18"/>
      <c r="B666" s="1" t="s">
        <v>183</v>
      </c>
      <c r="C666" s="1" t="s">
        <v>14</v>
      </c>
      <c r="D666" s="5">
        <v>0.3</v>
      </c>
      <c r="E666" s="39"/>
      <c r="F666" s="39"/>
    </row>
    <row r="667" spans="1:6" x14ac:dyDescent="0.25">
      <c r="A667" s="18"/>
      <c r="B667" s="1" t="s">
        <v>184</v>
      </c>
      <c r="C667" s="1" t="s">
        <v>144</v>
      </c>
      <c r="D667" s="5">
        <v>0.22</v>
      </c>
      <c r="E667" s="39"/>
      <c r="F667" s="39"/>
    </row>
    <row r="668" spans="1:6" x14ac:dyDescent="0.25">
      <c r="A668" s="18"/>
      <c r="B668" s="1" t="s">
        <v>185</v>
      </c>
      <c r="C668" s="1" t="s">
        <v>144</v>
      </c>
      <c r="D668" s="5">
        <v>0.22</v>
      </c>
      <c r="E668" s="39"/>
      <c r="F668" s="39"/>
    </row>
    <row r="669" spans="1:6" x14ac:dyDescent="0.25">
      <c r="A669" s="18"/>
      <c r="B669" s="1" t="s">
        <v>186</v>
      </c>
      <c r="C669" s="1" t="s">
        <v>10</v>
      </c>
      <c r="D669" s="5">
        <v>1.5</v>
      </c>
      <c r="E669" s="39"/>
      <c r="F669" s="39"/>
    </row>
    <row r="670" spans="1:6" x14ac:dyDescent="0.25">
      <c r="A670" s="18"/>
      <c r="B670" s="1" t="s">
        <v>103</v>
      </c>
      <c r="C670" s="1"/>
      <c r="D670" s="5">
        <v>0.2</v>
      </c>
      <c r="E670" s="39"/>
      <c r="F670" s="39"/>
    </row>
    <row r="671" spans="1:6" x14ac:dyDescent="0.25">
      <c r="A671" s="19"/>
      <c r="B671" s="1" t="s">
        <v>104</v>
      </c>
      <c r="C671" s="1" t="s">
        <v>144</v>
      </c>
      <c r="D671" s="5">
        <v>0.4</v>
      </c>
      <c r="E671" s="39"/>
      <c r="F671" s="39"/>
    </row>
    <row r="672" spans="1:6" x14ac:dyDescent="0.25">
      <c r="A672" s="34" t="s">
        <v>168</v>
      </c>
      <c r="B672" s="35"/>
      <c r="C672" s="36"/>
      <c r="D672" s="13">
        <f>SUM(D652:D671)</f>
        <v>72.64</v>
      </c>
      <c r="E672" s="40"/>
      <c r="F672" s="40"/>
    </row>
    <row r="674" spans="1:6" x14ac:dyDescent="0.25">
      <c r="A674" s="17" t="s">
        <v>255</v>
      </c>
      <c r="B674" s="1" t="s">
        <v>1</v>
      </c>
      <c r="C674" s="1" t="s">
        <v>78</v>
      </c>
      <c r="D674" s="1" t="s">
        <v>3</v>
      </c>
      <c r="E674" s="11" t="s">
        <v>4</v>
      </c>
      <c r="F674" s="1" t="s">
        <v>5</v>
      </c>
    </row>
    <row r="675" spans="1:6" x14ac:dyDescent="0.25">
      <c r="A675" s="18"/>
      <c r="B675" s="1" t="s">
        <v>130</v>
      </c>
      <c r="C675" s="2" t="s">
        <v>256</v>
      </c>
      <c r="D675" s="5">
        <v>5</v>
      </c>
      <c r="E675" s="28" t="s">
        <v>257</v>
      </c>
      <c r="F675" s="28">
        <v>2.5</v>
      </c>
    </row>
    <row r="676" spans="1:6" x14ac:dyDescent="0.25">
      <c r="A676" s="18"/>
      <c r="B676" t="s">
        <v>54</v>
      </c>
      <c r="C676" s="6" t="s">
        <v>10</v>
      </c>
      <c r="D676" s="5">
        <v>6.5</v>
      </c>
      <c r="E676" s="28"/>
      <c r="F676" s="28"/>
    </row>
    <row r="677" spans="1:6" x14ac:dyDescent="0.25">
      <c r="A677" s="18"/>
      <c r="B677" s="1" t="s">
        <v>246</v>
      </c>
      <c r="C677" s="6" t="s">
        <v>10</v>
      </c>
      <c r="D677" s="5">
        <v>6</v>
      </c>
      <c r="E677" s="28"/>
      <c r="F677" s="28"/>
    </row>
    <row r="678" spans="1:6" x14ac:dyDescent="0.25">
      <c r="A678" s="18"/>
      <c r="B678" s="1" t="s">
        <v>258</v>
      </c>
      <c r="C678" s="1" t="s">
        <v>16</v>
      </c>
      <c r="D678" s="5">
        <v>1</v>
      </c>
      <c r="E678" s="28"/>
      <c r="F678" s="28"/>
    </row>
    <row r="679" spans="1:6" x14ac:dyDescent="0.25">
      <c r="A679" s="18"/>
      <c r="B679" s="1" t="s">
        <v>134</v>
      </c>
      <c r="C679" s="1" t="s">
        <v>16</v>
      </c>
      <c r="D679" s="5">
        <v>1</v>
      </c>
      <c r="E679" s="28"/>
      <c r="F679" s="28"/>
    </row>
    <row r="680" spans="1:6" x14ac:dyDescent="0.25">
      <c r="A680" s="18"/>
      <c r="B680" s="12" t="s">
        <v>135</v>
      </c>
      <c r="C680" s="1" t="s">
        <v>26</v>
      </c>
      <c r="D680" s="5">
        <v>0.5</v>
      </c>
      <c r="E680" s="28"/>
      <c r="F680" s="28"/>
    </row>
    <row r="681" spans="1:6" x14ac:dyDescent="0.25">
      <c r="A681" s="18"/>
      <c r="B681" s="1" t="s">
        <v>59</v>
      </c>
      <c r="C681" s="1" t="s">
        <v>12</v>
      </c>
      <c r="D681" s="5">
        <v>0.5</v>
      </c>
      <c r="E681" s="28"/>
      <c r="F681" s="28"/>
    </row>
    <row r="682" spans="1:6" x14ac:dyDescent="0.25">
      <c r="A682" s="18"/>
      <c r="B682" s="1" t="s">
        <v>110</v>
      </c>
      <c r="C682" s="1" t="s">
        <v>16</v>
      </c>
      <c r="D682" s="5">
        <v>0.1</v>
      </c>
      <c r="E682" s="28"/>
      <c r="F682" s="28"/>
    </row>
    <row r="683" spans="1:6" x14ac:dyDescent="0.25">
      <c r="A683" s="18"/>
      <c r="B683" s="1" t="s">
        <v>69</v>
      </c>
      <c r="C683" s="1" t="s">
        <v>10</v>
      </c>
      <c r="D683" s="5">
        <v>0.7</v>
      </c>
      <c r="E683" s="28"/>
      <c r="F683" s="28"/>
    </row>
    <row r="684" spans="1:6" x14ac:dyDescent="0.25">
      <c r="A684" s="18"/>
      <c r="B684" s="1" t="s">
        <v>103</v>
      </c>
      <c r="C684" s="1"/>
      <c r="D684" s="5">
        <v>0.2</v>
      </c>
      <c r="E684" s="28"/>
      <c r="F684" s="28"/>
    </row>
    <row r="685" spans="1:6" x14ac:dyDescent="0.25">
      <c r="A685" s="18"/>
      <c r="B685" s="1" t="s">
        <v>109</v>
      </c>
      <c r="C685" s="1" t="s">
        <v>16</v>
      </c>
      <c r="D685" s="5">
        <v>0.2</v>
      </c>
      <c r="E685" s="28"/>
      <c r="F685" s="28"/>
    </row>
    <row r="686" spans="1:6" x14ac:dyDescent="0.25">
      <c r="A686" s="18"/>
      <c r="B686" s="1" t="s">
        <v>259</v>
      </c>
      <c r="C686" s="1" t="s">
        <v>10</v>
      </c>
      <c r="D686" s="5">
        <v>0.5</v>
      </c>
      <c r="E686" s="28"/>
      <c r="F686" s="28"/>
    </row>
    <row r="687" spans="1:6" x14ac:dyDescent="0.25">
      <c r="A687" s="34" t="s">
        <v>168</v>
      </c>
      <c r="B687" s="35"/>
      <c r="C687" s="36"/>
      <c r="D687" s="13">
        <f>SUM(D675:D686)</f>
        <v>22.2</v>
      </c>
      <c r="E687" s="28"/>
      <c r="F687" s="28"/>
    </row>
  </sheetData>
  <mergeCells count="177">
    <mergeCell ref="A651:A671"/>
    <mergeCell ref="E652:E672"/>
    <mergeCell ref="F652:F672"/>
    <mergeCell ref="A672:C672"/>
    <mergeCell ref="A674:A686"/>
    <mergeCell ref="E675:E687"/>
    <mergeCell ref="F675:F687"/>
    <mergeCell ref="A687:C687"/>
    <mergeCell ref="A601:A615"/>
    <mergeCell ref="E602:E616"/>
    <mergeCell ref="F602:F616"/>
    <mergeCell ref="A616:C616"/>
    <mergeCell ref="A618:A631"/>
    <mergeCell ref="E619:E632"/>
    <mergeCell ref="F619:F632"/>
    <mergeCell ref="A632:C632"/>
    <mergeCell ref="A576:A585"/>
    <mergeCell ref="E577:E586"/>
    <mergeCell ref="F577:F586"/>
    <mergeCell ref="A586:C586"/>
    <mergeCell ref="A588:A597"/>
    <mergeCell ref="E589:E598"/>
    <mergeCell ref="F589:F598"/>
    <mergeCell ref="A598:C598"/>
    <mergeCell ref="A551:A561"/>
    <mergeCell ref="E552:E562"/>
    <mergeCell ref="F552:F562"/>
    <mergeCell ref="A562:C562"/>
    <mergeCell ref="A564:A573"/>
    <mergeCell ref="E565:E574"/>
    <mergeCell ref="F565:F574"/>
    <mergeCell ref="A574:C574"/>
    <mergeCell ref="A517:A530"/>
    <mergeCell ref="E518:E531"/>
    <mergeCell ref="F518:F531"/>
    <mergeCell ref="A531:C531"/>
    <mergeCell ref="A533:A546"/>
    <mergeCell ref="E534:E547"/>
    <mergeCell ref="F534:F547"/>
    <mergeCell ref="A547:C547"/>
    <mergeCell ref="A483:A497"/>
    <mergeCell ref="E484:E498"/>
    <mergeCell ref="F484:F498"/>
    <mergeCell ref="A498:C498"/>
    <mergeCell ref="A501:A514"/>
    <mergeCell ref="E502:E515"/>
    <mergeCell ref="F502:F515"/>
    <mergeCell ref="A515:C515"/>
    <mergeCell ref="A451:A464"/>
    <mergeCell ref="E452:E465"/>
    <mergeCell ref="F452:F465"/>
    <mergeCell ref="A465:C465"/>
    <mergeCell ref="A467:A480"/>
    <mergeCell ref="E468:E481"/>
    <mergeCell ref="F468:F481"/>
    <mergeCell ref="A481:C481"/>
    <mergeCell ref="A403:A420"/>
    <mergeCell ref="E404:E421"/>
    <mergeCell ref="F404:F421"/>
    <mergeCell ref="A421:C421"/>
    <mergeCell ref="A423:A438"/>
    <mergeCell ref="E424:E439"/>
    <mergeCell ref="F424:F439"/>
    <mergeCell ref="A439:C439"/>
    <mergeCell ref="A351:A365"/>
    <mergeCell ref="E352:E366"/>
    <mergeCell ref="F352:F366"/>
    <mergeCell ref="A366:C366"/>
    <mergeCell ref="A368:A381"/>
    <mergeCell ref="E369:E382"/>
    <mergeCell ref="F369:F382"/>
    <mergeCell ref="A382:C382"/>
    <mergeCell ref="A315:A324"/>
    <mergeCell ref="E316:E325"/>
    <mergeCell ref="F316:F325"/>
    <mergeCell ref="A325:C325"/>
    <mergeCell ref="A327:A337"/>
    <mergeCell ref="E328:E338"/>
    <mergeCell ref="F328:F338"/>
    <mergeCell ref="A338:C338"/>
    <mergeCell ref="A277:A289"/>
    <mergeCell ref="E278:E290"/>
    <mergeCell ref="F278:F290"/>
    <mergeCell ref="A290:C290"/>
    <mergeCell ref="A301:A312"/>
    <mergeCell ref="E302:E313"/>
    <mergeCell ref="F302:F313"/>
    <mergeCell ref="A313:C313"/>
    <mergeCell ref="A251:A259"/>
    <mergeCell ref="E252:E260"/>
    <mergeCell ref="F252:F260"/>
    <mergeCell ref="A260:C260"/>
    <mergeCell ref="A262:A274"/>
    <mergeCell ref="E263:E275"/>
    <mergeCell ref="F263:F275"/>
    <mergeCell ref="A275:C275"/>
    <mergeCell ref="A228:A234"/>
    <mergeCell ref="E229:E235"/>
    <mergeCell ref="F229:F235"/>
    <mergeCell ref="A235:C235"/>
    <mergeCell ref="A237:A245"/>
    <mergeCell ref="E238:E246"/>
    <mergeCell ref="F238:F246"/>
    <mergeCell ref="A246:C246"/>
    <mergeCell ref="A201:A210"/>
    <mergeCell ref="E202:E211"/>
    <mergeCell ref="F202:F211"/>
    <mergeCell ref="A211:C211"/>
    <mergeCell ref="A214:A225"/>
    <mergeCell ref="E215:E226"/>
    <mergeCell ref="F215:F226"/>
    <mergeCell ref="A226:C226"/>
    <mergeCell ref="A162:A176"/>
    <mergeCell ref="E163:E177"/>
    <mergeCell ref="F163:F177"/>
    <mergeCell ref="A177:C177"/>
    <mergeCell ref="A179:A194"/>
    <mergeCell ref="E180:E195"/>
    <mergeCell ref="F180:F195"/>
    <mergeCell ref="A195:C195"/>
    <mergeCell ref="A137:A146"/>
    <mergeCell ref="E138:E147"/>
    <mergeCell ref="F138:F147"/>
    <mergeCell ref="A147:C147"/>
    <mergeCell ref="A151:A159"/>
    <mergeCell ref="E152:E160"/>
    <mergeCell ref="F152:F160"/>
    <mergeCell ref="A160:C160"/>
    <mergeCell ref="A114:A123"/>
    <mergeCell ref="E115:E124"/>
    <mergeCell ref="F115:F124"/>
    <mergeCell ref="A124:C124"/>
    <mergeCell ref="A126:A134"/>
    <mergeCell ref="E127:E135"/>
    <mergeCell ref="F127:F135"/>
    <mergeCell ref="A135:C135"/>
    <mergeCell ref="A89:A97"/>
    <mergeCell ref="E90:E98"/>
    <mergeCell ref="F90:F98"/>
    <mergeCell ref="A98:C98"/>
    <mergeCell ref="A101:A111"/>
    <mergeCell ref="E102:E112"/>
    <mergeCell ref="F102:F112"/>
    <mergeCell ref="A112:C112"/>
    <mergeCell ref="A70:A76"/>
    <mergeCell ref="E70:E77"/>
    <mergeCell ref="F70:F77"/>
    <mergeCell ref="A77:C77"/>
    <mergeCell ref="A80:A86"/>
    <mergeCell ref="E80:E87"/>
    <mergeCell ref="F80:F87"/>
    <mergeCell ref="A87:C87"/>
    <mergeCell ref="A51:A55"/>
    <mergeCell ref="E52:E56"/>
    <mergeCell ref="F52:F56"/>
    <mergeCell ref="A56:C56"/>
    <mergeCell ref="A58:A66"/>
    <mergeCell ref="E59:E67"/>
    <mergeCell ref="F59:F67"/>
    <mergeCell ref="A67:C67"/>
    <mergeCell ref="A24:A34"/>
    <mergeCell ref="E24:E35"/>
    <mergeCell ref="F24:F35"/>
    <mergeCell ref="A35:C35"/>
    <mergeCell ref="A37:A41"/>
    <mergeCell ref="E38:E42"/>
    <mergeCell ref="F38:F42"/>
    <mergeCell ref="A42:C42"/>
    <mergeCell ref="A2:F2"/>
    <mergeCell ref="A4:A10"/>
    <mergeCell ref="E4:E11"/>
    <mergeCell ref="F4:F11"/>
    <mergeCell ref="A11:C11"/>
    <mergeCell ref="A14:A20"/>
    <mergeCell ref="E14:E21"/>
    <mergeCell ref="F14:F21"/>
    <mergeCell ref="A21:C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fiche tchnique cuisine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2026-04-19T19:41:17Z</dcterms:created>
  <dcterms:modified xsi:type="dcterms:W3CDTF">2026-05-20T23:47:40Z</dcterms:modified>
</cp:coreProperties>
</file>