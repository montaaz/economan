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cd50430fa6682f/KERMEN BUSINESS BEY/FICHE TECHNIQUE ET COUTS/"/>
    </mc:Choice>
  </mc:AlternateContent>
  <xr:revisionPtr revIDLastSave="2" documentId="13_ncr:1_{D9C366E6-7A56-4622-97CB-E7002876B523}" xr6:coauthVersionLast="47" xr6:coauthVersionMax="47" xr10:uidLastSave="{E67297CB-ED0C-4C86-B23C-01A758415193}"/>
  <bookViews>
    <workbookView xWindow="-120" yWindow="-120" windowWidth="29040" windowHeight="15720" activeTab="1" xr2:uid="{14686736-3A44-4828-82C4-BA48B0EB6E60}"/>
  </bookViews>
  <sheets>
    <sheet name="signature" sheetId="9" r:id="rId1"/>
    <sheet name="fiche tech petit dej corrig (2)" sheetId="10" r:id="rId2"/>
    <sheet name="plaisir" sheetId="11" r:id="rId3"/>
    <sheet name="el baldy" sheetId="12" r:id="rId4"/>
    <sheet name="energie" sheetId="13" r:id="rId5"/>
    <sheet name="bonjour" sheetId="14" r:id="rId6"/>
    <sheet name="saveur" sheetId="15" r:id="rId7"/>
    <sheet name="composants" sheetId="1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0" l="1"/>
  <c r="K17" i="16"/>
  <c r="D65" i="16"/>
  <c r="O23" i="9" l="1"/>
  <c r="N23" i="9"/>
  <c r="L15" i="9"/>
  <c r="F28" i="9" s="1"/>
  <c r="D90" i="16"/>
  <c r="D80" i="16"/>
  <c r="D74" i="16"/>
  <c r="I92" i="16"/>
  <c r="I80" i="16"/>
  <c r="N26" i="16"/>
  <c r="N17" i="16"/>
  <c r="I70" i="16"/>
  <c r="I59" i="16"/>
  <c r="I50" i="16"/>
  <c r="I42" i="16"/>
  <c r="D52" i="16"/>
  <c r="D44" i="16"/>
  <c r="I33" i="16"/>
  <c r="I26" i="16"/>
  <c r="D37" i="16"/>
  <c r="D30" i="16"/>
  <c r="I18" i="16"/>
  <c r="I9" i="16"/>
  <c r="D20" i="16"/>
  <c r="D10" i="16"/>
  <c r="E24" i="15"/>
  <c r="E17" i="15"/>
  <c r="E25" i="15" s="1"/>
  <c r="D10" i="14"/>
  <c r="E2" i="14"/>
  <c r="E18" i="13"/>
  <c r="E13" i="13"/>
  <c r="E22" i="12"/>
  <c r="E17" i="12"/>
  <c r="E7" i="12"/>
  <c r="E12" i="11"/>
  <c r="E7" i="11"/>
  <c r="D370" i="10"/>
  <c r="D359" i="10"/>
  <c r="D353" i="10"/>
  <c r="D345" i="10"/>
  <c r="D333" i="10"/>
  <c r="D323" i="10"/>
  <c r="D314" i="10"/>
  <c r="D306" i="10"/>
  <c r="D295" i="10"/>
  <c r="D282" i="10"/>
  <c r="D269" i="10"/>
  <c r="D261" i="10"/>
  <c r="D252" i="10"/>
  <c r="D244" i="10"/>
  <c r="D236" i="10"/>
  <c r="D229" i="10"/>
  <c r="D221" i="10"/>
  <c r="D214" i="10"/>
  <c r="D205" i="10"/>
  <c r="D196" i="10"/>
  <c r="D182" i="10"/>
  <c r="D172" i="10"/>
  <c r="E161" i="10"/>
  <c r="E162" i="10" s="1"/>
  <c r="E154" i="10"/>
  <c r="D136" i="10"/>
  <c r="E128" i="10"/>
  <c r="E127" i="10"/>
  <c r="E122" i="10"/>
  <c r="E108" i="10"/>
  <c r="E103" i="10"/>
  <c r="E93" i="10"/>
  <c r="E83" i="10"/>
  <c r="E78" i="10"/>
  <c r="E84" i="10" s="1"/>
  <c r="F69" i="10"/>
  <c r="F63" i="10"/>
  <c r="F36" i="10"/>
  <c r="F28" i="10"/>
  <c r="J20" i="10"/>
  <c r="I18" i="10"/>
  <c r="F9" i="10"/>
  <c r="E70" i="10" s="1"/>
  <c r="G4" i="10"/>
  <c r="G3" i="10"/>
  <c r="F67" i="9"/>
  <c r="F61" i="9"/>
  <c r="F36" i="9"/>
  <c r="F9" i="9"/>
  <c r="E109" i="10" l="1"/>
  <c r="E19" i="13"/>
  <c r="E23" i="12"/>
  <c r="E13" i="11"/>
  <c r="E68" i="9"/>
</calcChain>
</file>

<file path=xl/sharedStrings.xml><?xml version="1.0" encoding="utf-8"?>
<sst xmlns="http://schemas.openxmlformats.org/spreadsheetml/2006/main" count="1068" uniqueCount="265">
  <si>
    <t>ingr</t>
  </si>
  <si>
    <t>noix</t>
  </si>
  <si>
    <t>cout</t>
  </si>
  <si>
    <t>100g</t>
  </si>
  <si>
    <t>30g</t>
  </si>
  <si>
    <t>20g</t>
  </si>
  <si>
    <t>50g</t>
  </si>
  <si>
    <t>150g</t>
  </si>
  <si>
    <t>120g</t>
  </si>
  <si>
    <t>1p</t>
  </si>
  <si>
    <t>œuf</t>
  </si>
  <si>
    <t>thon</t>
  </si>
  <si>
    <t>10g</t>
  </si>
  <si>
    <t>miel</t>
  </si>
  <si>
    <t>200g</t>
  </si>
  <si>
    <t>15g</t>
  </si>
  <si>
    <t>5g</t>
  </si>
  <si>
    <t>40g</t>
  </si>
  <si>
    <t>2p</t>
  </si>
  <si>
    <t>60g</t>
  </si>
  <si>
    <t>6p</t>
  </si>
  <si>
    <t>70g</t>
  </si>
  <si>
    <t>250g</t>
  </si>
  <si>
    <t>1P</t>
  </si>
  <si>
    <t>400g</t>
  </si>
  <si>
    <t>total</t>
  </si>
  <si>
    <t>grammage</t>
  </si>
  <si>
    <t>oignon</t>
  </si>
  <si>
    <t>huil d'olive</t>
  </si>
  <si>
    <t>TOTAL</t>
  </si>
  <si>
    <t>brawni's</t>
  </si>
  <si>
    <t>8P</t>
  </si>
  <si>
    <t>beurre margarine</t>
  </si>
  <si>
    <t>couverture noir</t>
  </si>
  <si>
    <t>farine</t>
  </si>
  <si>
    <t>500g</t>
  </si>
  <si>
    <t>160g</t>
  </si>
  <si>
    <t>cacao</t>
  </si>
  <si>
    <t>sucre poudre</t>
  </si>
  <si>
    <t>240g</t>
  </si>
  <si>
    <t>10P</t>
  </si>
  <si>
    <t>335g</t>
  </si>
  <si>
    <t>lait entier</t>
  </si>
  <si>
    <t>1,25L</t>
  </si>
  <si>
    <t>lait</t>
  </si>
  <si>
    <t>0,5L</t>
  </si>
  <si>
    <t>crème fouetter</t>
  </si>
  <si>
    <t>0,315L</t>
  </si>
  <si>
    <t>nestlé</t>
  </si>
  <si>
    <t>0,216L</t>
  </si>
  <si>
    <t>LAIT</t>
  </si>
  <si>
    <t>0,85L</t>
  </si>
  <si>
    <t>0,54L</t>
  </si>
  <si>
    <t>45G</t>
  </si>
  <si>
    <t>plat salé</t>
  </si>
  <si>
    <t>potatos</t>
  </si>
  <si>
    <t>300g</t>
  </si>
  <si>
    <t>saucisse</t>
  </si>
  <si>
    <t>75g</t>
  </si>
  <si>
    <t>legume</t>
  </si>
  <si>
    <t>harissa</t>
  </si>
  <si>
    <t>tost tunisienne</t>
  </si>
  <si>
    <t>3p</t>
  </si>
  <si>
    <t>pain de compagne</t>
  </si>
  <si>
    <t>salade toste</t>
  </si>
  <si>
    <t>sauce toste</t>
  </si>
  <si>
    <t xml:space="preserve">variante </t>
  </si>
  <si>
    <t>plat sucré</t>
  </si>
  <si>
    <t>mini baguette</t>
  </si>
  <si>
    <t>3P</t>
  </si>
  <si>
    <t>batbout</t>
  </si>
  <si>
    <t>samsa</t>
  </si>
  <si>
    <t>ommlette</t>
  </si>
  <si>
    <t>charcuterie</t>
  </si>
  <si>
    <t>abricot</t>
  </si>
  <si>
    <t>olive vert</t>
  </si>
  <si>
    <t>raisin noir</t>
  </si>
  <si>
    <t>camembert</t>
  </si>
  <si>
    <t>jambon parfumé</t>
  </si>
  <si>
    <t>35g</t>
  </si>
  <si>
    <t>jambon dinde</t>
  </si>
  <si>
    <t>jambon fumé</t>
  </si>
  <si>
    <t>edame</t>
  </si>
  <si>
    <t>110g</t>
  </si>
  <si>
    <t>mozzarella cerise</t>
  </si>
  <si>
    <t>fromage frais</t>
  </si>
  <si>
    <t>orange seché</t>
  </si>
  <si>
    <t>durra</t>
  </si>
  <si>
    <t>sauce fital</t>
  </si>
  <si>
    <t>sauce algérienne</t>
  </si>
  <si>
    <t>sel</t>
  </si>
  <si>
    <t>poivre noir</t>
  </si>
  <si>
    <t>citron</t>
  </si>
  <si>
    <t>thina papillon</t>
  </si>
  <si>
    <t>chevrette dej</t>
  </si>
  <si>
    <t>tomate</t>
  </si>
  <si>
    <t>piment</t>
  </si>
  <si>
    <t>tomate concentré</t>
  </si>
  <si>
    <t>huil végital</t>
  </si>
  <si>
    <t>ojja dej</t>
  </si>
  <si>
    <t>sutlaç</t>
  </si>
  <si>
    <t>trileçe</t>
  </si>
  <si>
    <t>140g</t>
  </si>
  <si>
    <t>pain perdue</t>
  </si>
  <si>
    <t>80g</t>
  </si>
  <si>
    <t>gaufre</t>
  </si>
  <si>
    <t>potoricain</t>
  </si>
  <si>
    <t>fraise</t>
  </si>
  <si>
    <t>kiwi</t>
  </si>
  <si>
    <t>orange frais</t>
  </si>
  <si>
    <t>fandon brawni's</t>
  </si>
  <si>
    <t>morgen noir</t>
  </si>
  <si>
    <t>bable</t>
  </si>
  <si>
    <t>crepe</t>
  </si>
  <si>
    <t>docrème pistache</t>
  </si>
  <si>
    <t>165g</t>
  </si>
  <si>
    <t>pistache concassé</t>
  </si>
  <si>
    <t>amande effelet</t>
  </si>
  <si>
    <t>kunefa</t>
  </si>
  <si>
    <t>caramel beurre salé</t>
  </si>
  <si>
    <t>sucré</t>
  </si>
  <si>
    <t>TRIO PREMIUM</t>
  </si>
  <si>
    <t xml:space="preserve">café </t>
  </si>
  <si>
    <t>jus</t>
  </si>
  <si>
    <t>yaourts glacés</t>
  </si>
  <si>
    <t>eau 1L</t>
  </si>
  <si>
    <t>dosage</t>
  </si>
  <si>
    <t>BAR</t>
  </si>
  <si>
    <t>morgen</t>
  </si>
  <si>
    <t>eau 0,4L</t>
  </si>
  <si>
    <t>le plaisir</t>
  </si>
  <si>
    <t>gleya</t>
  </si>
  <si>
    <t>harissa arbi</t>
  </si>
  <si>
    <t>mlawi</t>
  </si>
  <si>
    <t>pain</t>
  </si>
  <si>
    <t>rechta</t>
  </si>
  <si>
    <t>salé</t>
  </si>
  <si>
    <t>0,4p</t>
  </si>
  <si>
    <t>gouta</t>
  </si>
  <si>
    <t>bsissa</t>
  </si>
  <si>
    <t>ELBALDI BEY</t>
  </si>
  <si>
    <t>CHAIRIA</t>
  </si>
  <si>
    <t>datte</t>
  </si>
  <si>
    <t>sucre</t>
  </si>
  <si>
    <t>amande concassé</t>
  </si>
  <si>
    <t>1kg</t>
  </si>
  <si>
    <t>toast tunisienne</t>
  </si>
  <si>
    <t>crème liquide</t>
  </si>
  <si>
    <t>ouef</t>
  </si>
  <si>
    <t>beurre</t>
  </si>
  <si>
    <t>escalope</t>
  </si>
  <si>
    <t>170g</t>
  </si>
  <si>
    <t>salade</t>
  </si>
  <si>
    <t>toast</t>
  </si>
  <si>
    <t>L'energie</t>
  </si>
  <si>
    <t>eau 0,4</t>
  </si>
  <si>
    <t>Sandwich turc</t>
  </si>
  <si>
    <t>pain turc</t>
  </si>
  <si>
    <t>sauce algerienne</t>
  </si>
  <si>
    <t>legume sauté</t>
  </si>
  <si>
    <t>pain batbout</t>
  </si>
  <si>
    <t>mais</t>
  </si>
  <si>
    <t>mini burger</t>
  </si>
  <si>
    <t>pain burger</t>
  </si>
  <si>
    <t>boulette escalope</t>
  </si>
  <si>
    <t>croissant salé</t>
  </si>
  <si>
    <t>croissant nature</t>
  </si>
  <si>
    <t>sauce toast</t>
  </si>
  <si>
    <t>jambon</t>
  </si>
  <si>
    <t>25g</t>
  </si>
  <si>
    <t>variante</t>
  </si>
  <si>
    <t>croissant dubai</t>
  </si>
  <si>
    <t>docreme pistache</t>
  </si>
  <si>
    <t>nutella</t>
  </si>
  <si>
    <t>5G</t>
  </si>
  <si>
    <t>3G</t>
  </si>
  <si>
    <t>10G</t>
  </si>
  <si>
    <t>100G</t>
  </si>
  <si>
    <t>YAOURT NATURE</t>
  </si>
  <si>
    <t>sirop trileçi</t>
  </si>
  <si>
    <t>sanduich turc</t>
  </si>
  <si>
    <t xml:space="preserve">grammage </t>
  </si>
  <si>
    <t>choufene</t>
  </si>
  <si>
    <t>amande grillé</t>
  </si>
  <si>
    <t>acajou</t>
  </si>
  <si>
    <t>noisette</t>
  </si>
  <si>
    <t>kloub kra3</t>
  </si>
  <si>
    <t>kloub kahla</t>
  </si>
  <si>
    <t>keten</t>
  </si>
  <si>
    <t>chia</t>
  </si>
  <si>
    <t>1kg choufen donne 2,2k granola</t>
  </si>
  <si>
    <t>granola</t>
  </si>
  <si>
    <t>cout d'un kg grannola</t>
  </si>
  <si>
    <t>23dt</t>
  </si>
  <si>
    <t>yaourt glace</t>
  </si>
  <si>
    <t>yaourt+lait</t>
  </si>
  <si>
    <t>125g</t>
  </si>
  <si>
    <t>pistache concasse</t>
  </si>
  <si>
    <t>amande concasse</t>
  </si>
  <si>
    <t>caramele triliçi</t>
  </si>
  <si>
    <t>yaourt grico's</t>
  </si>
  <si>
    <t>1b</t>
  </si>
  <si>
    <t>brawn's</t>
  </si>
  <si>
    <t>mozza cerise</t>
  </si>
  <si>
    <t>persile</t>
  </si>
  <si>
    <t>ail</t>
  </si>
  <si>
    <t xml:space="preserve">salade toast </t>
  </si>
  <si>
    <t xml:space="preserve"> sauce toast </t>
  </si>
  <si>
    <t>goutella</t>
  </si>
  <si>
    <t>1k</t>
  </si>
  <si>
    <t>toaste tunisienne</t>
  </si>
  <si>
    <t>700g</t>
  </si>
  <si>
    <t>triliçi</t>
  </si>
  <si>
    <t>1l</t>
  </si>
  <si>
    <t>2l</t>
  </si>
  <si>
    <t xml:space="preserve">risotto </t>
  </si>
  <si>
    <t>amidon</t>
  </si>
  <si>
    <t>45g</t>
  </si>
  <si>
    <t>beurre pur</t>
  </si>
  <si>
    <t>croissant natur</t>
  </si>
  <si>
    <t>pain chocolat</t>
  </si>
  <si>
    <t>cacke</t>
  </si>
  <si>
    <t>sauce dourra</t>
  </si>
  <si>
    <t>dourra thinna</t>
  </si>
  <si>
    <t>2,5p</t>
  </si>
  <si>
    <t>300l</t>
  </si>
  <si>
    <t>thomson</t>
  </si>
  <si>
    <t>msamen</t>
  </si>
  <si>
    <t>le bonjoure du bey</t>
  </si>
  <si>
    <t>caffe</t>
  </si>
  <si>
    <t>jus frais</t>
  </si>
  <si>
    <t>bouteille eau 0,4l</t>
  </si>
  <si>
    <t>viennoiserier</t>
  </si>
  <si>
    <t>sauce fita</t>
  </si>
  <si>
    <t>assiette sucrée</t>
  </si>
  <si>
    <t>assiette sucrée(plaisire)</t>
  </si>
  <si>
    <t>mini gauffre</t>
  </si>
  <si>
    <t>poffertejes</t>
  </si>
  <si>
    <t xml:space="preserve">fruit de saison </t>
  </si>
  <si>
    <t>sauce chocolat fondu</t>
  </si>
  <si>
    <t xml:space="preserve"> la saveur du bey</t>
  </si>
  <si>
    <t xml:space="preserve">jus frais </t>
  </si>
  <si>
    <t>croissant salée</t>
  </si>
  <si>
    <t>omlett dej saveur</t>
  </si>
  <si>
    <t>leguem</t>
  </si>
  <si>
    <t>raisin sec</t>
  </si>
  <si>
    <t>cammuber</t>
  </si>
  <si>
    <t>tri</t>
  </si>
  <si>
    <t>fruit de saison</t>
  </si>
  <si>
    <t>corbay pain</t>
  </si>
  <si>
    <t>1/4p</t>
  </si>
  <si>
    <t>sucré                 sucré</t>
  </si>
  <si>
    <t>fiche technique de petit dej</t>
  </si>
  <si>
    <t>3 PIECES DE 10Gr</t>
  </si>
  <si>
    <t>NBRE DE SAUCISSE?</t>
  </si>
  <si>
    <t>0,105GR</t>
  </si>
  <si>
    <t>NEW CHARCUTERIE</t>
  </si>
  <si>
    <t>35,000DTLE KILO</t>
  </si>
  <si>
    <t>LE 11/05</t>
  </si>
  <si>
    <t>EDAM</t>
  </si>
  <si>
    <t>ommelette jambon</t>
  </si>
  <si>
    <t>mini croissant</t>
  </si>
  <si>
    <t>1portion</t>
  </si>
  <si>
    <t>durra THINA</t>
  </si>
  <si>
    <t>3 PLATS ommlette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</si>
</sst>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1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2" borderId="1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vertical="center" textRotation="180"/>
    </xf>
    <xf numFmtId="0" fontId="0" fillId="3" borderId="1" xfId="0" applyFill="1" applyBorder="1"/>
    <xf numFmtId="0" fontId="3" fillId="0" borderId="1" xfId="0" applyFont="1" applyBorder="1" applyAlignment="1">
      <alignment vertical="center" textRotation="60"/>
    </xf>
    <xf numFmtId="0" fontId="0" fillId="2" borderId="2" xfId="0" applyFill="1" applyBorder="1"/>
    <xf numFmtId="12" fontId="0" fillId="0" borderId="1" xfId="0" applyNumberFormat="1" applyBorder="1"/>
    <xf numFmtId="164" fontId="0" fillId="0" borderId="0" xfId="0" applyNumberFormat="1"/>
    <xf numFmtId="0" fontId="0" fillId="8" borderId="0" xfId="0" applyFill="1"/>
    <xf numFmtId="164" fontId="0" fillId="8" borderId="0" xfId="0" applyNumberFormat="1" applyFill="1"/>
    <xf numFmtId="0" fontId="0" fillId="0" borderId="4" xfId="0" applyBorder="1"/>
    <xf numFmtId="0" fontId="0" fillId="0" borderId="13" xfId="0" applyBorder="1"/>
    <xf numFmtId="0" fontId="0" fillId="0" borderId="14" xfId="0" applyBorder="1"/>
    <xf numFmtId="164" fontId="0" fillId="0" borderId="15" xfId="0" applyNumberFormat="1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164" fontId="0" fillId="0" borderId="21" xfId="0" applyNumberFormat="1" applyBorder="1"/>
    <xf numFmtId="0" fontId="0" fillId="0" borderId="22" xfId="0" applyBorder="1" applyAlignment="1">
      <alignment horizontal="center" vertical="center"/>
    </xf>
    <xf numFmtId="164" fontId="0" fillId="0" borderId="16" xfId="0" applyNumberFormat="1" applyBorder="1" applyAlignment="1">
      <alignment vertical="center"/>
    </xf>
    <xf numFmtId="0" fontId="0" fillId="0" borderId="18" xfId="0" applyBorder="1" applyAlignment="1">
      <alignment vertical="center"/>
    </xf>
    <xf numFmtId="0" fontId="0" fillId="8" borderId="1" xfId="0" applyFill="1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 textRotation="18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0" fillId="9" borderId="1" xfId="0" applyFill="1" applyBorder="1"/>
    <xf numFmtId="0" fontId="12" fillId="0" borderId="1" xfId="0" applyFont="1" applyBorder="1" applyAlignment="1">
      <alignment horizontal="center" textRotation="90"/>
    </xf>
    <xf numFmtId="0" fontId="14" fillId="0" borderId="2" xfId="0" applyFont="1" applyBorder="1" applyAlignment="1">
      <alignment horizontal="center" vertical="center" textRotation="90"/>
    </xf>
    <xf numFmtId="0" fontId="14" fillId="0" borderId="3" xfId="0" applyFont="1" applyBorder="1" applyAlignment="1">
      <alignment horizontal="center" vertical="center" textRotation="90"/>
    </xf>
    <xf numFmtId="0" fontId="14" fillId="0" borderId="4" xfId="0" applyFont="1" applyBorder="1" applyAlignment="1">
      <alignment horizontal="center" vertical="center" textRotation="90"/>
    </xf>
    <xf numFmtId="0" fontId="15" fillId="5" borderId="1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60"/>
    </xf>
    <xf numFmtId="0" fontId="3" fillId="0" borderId="3" xfId="0" applyFont="1" applyBorder="1" applyAlignment="1">
      <alignment horizontal="center" vertical="center" textRotation="60"/>
    </xf>
    <xf numFmtId="0" fontId="3" fillId="0" borderId="4" xfId="0" applyFont="1" applyBorder="1" applyAlignment="1">
      <alignment horizontal="center" vertical="center" textRotation="60"/>
    </xf>
    <xf numFmtId="0" fontId="3" fillId="2" borderId="5" xfId="0" applyFont="1" applyFill="1" applyBorder="1" applyAlignment="1">
      <alignment horizontal="center" vertical="center" textRotation="60"/>
    </xf>
    <xf numFmtId="0" fontId="3" fillId="2" borderId="6" xfId="0" applyFont="1" applyFill="1" applyBorder="1" applyAlignment="1">
      <alignment horizontal="center" vertical="center" textRotation="60"/>
    </xf>
    <xf numFmtId="0" fontId="3" fillId="2" borderId="7" xfId="0" applyFont="1" applyFill="1" applyBorder="1" applyAlignment="1">
      <alignment horizontal="center" vertical="center" textRotation="60"/>
    </xf>
    <xf numFmtId="0" fontId="3" fillId="0" borderId="12" xfId="0" applyFont="1" applyBorder="1" applyAlignment="1">
      <alignment horizontal="center" vertical="center" textRotation="60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2" xfId="0" applyFont="1" applyBorder="1" applyAlignment="1">
      <alignment horizontal="center" vertical="center" textRotation="60"/>
    </xf>
    <xf numFmtId="0" fontId="7" fillId="0" borderId="3" xfId="0" applyFont="1" applyBorder="1" applyAlignment="1">
      <alignment horizontal="center" vertical="center" textRotation="60"/>
    </xf>
    <xf numFmtId="0" fontId="7" fillId="0" borderId="4" xfId="0" applyFont="1" applyBorder="1" applyAlignment="1">
      <alignment horizontal="center" vertical="center" textRotation="60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60"/>
    </xf>
    <xf numFmtId="0" fontId="5" fillId="0" borderId="3" xfId="0" applyFont="1" applyBorder="1" applyAlignment="1">
      <alignment horizontal="center" vertical="center" textRotation="60"/>
    </xf>
    <xf numFmtId="0" fontId="5" fillId="0" borderId="4" xfId="0" applyFont="1" applyBorder="1" applyAlignment="1">
      <alignment horizontal="center" vertical="center" textRotation="60"/>
    </xf>
    <xf numFmtId="0" fontId="9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60"/>
    </xf>
    <xf numFmtId="0" fontId="8" fillId="0" borderId="1" xfId="0" applyFont="1" applyBorder="1" applyAlignment="1">
      <alignment horizontal="center" vertical="center" textRotation="48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0" fillId="0" borderId="2" xfId="0" applyFont="1" applyBorder="1" applyAlignment="1">
      <alignment horizontal="center" vertical="center" textRotation="90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6" fillId="0" borderId="1" xfId="0" applyFont="1" applyBorder="1" applyAlignment="1">
      <alignment horizontal="center" vertical="center" textRotation="60"/>
    </xf>
    <xf numFmtId="0" fontId="0" fillId="0" borderId="1" xfId="0" applyBorder="1" applyAlignment="1">
      <alignment horizontal="right"/>
    </xf>
    <xf numFmtId="0" fontId="3" fillId="2" borderId="1" xfId="0" applyFont="1" applyFill="1" applyBorder="1" applyAlignment="1">
      <alignment horizontal="center" vertical="center" textRotation="60"/>
    </xf>
    <xf numFmtId="0" fontId="0" fillId="0" borderId="1" xfId="0" applyBorder="1" applyAlignment="1">
      <alignment horizontal="center" textRotation="90"/>
    </xf>
    <xf numFmtId="0" fontId="8" fillId="0" borderId="2" xfId="0" applyFont="1" applyBorder="1" applyAlignment="1">
      <alignment horizontal="center" vertical="center" textRotation="60"/>
    </xf>
    <xf numFmtId="0" fontId="8" fillId="0" borderId="3" xfId="0" applyFont="1" applyBorder="1" applyAlignment="1">
      <alignment horizontal="center" vertical="center" textRotation="60"/>
    </xf>
    <xf numFmtId="0" fontId="6" fillId="0" borderId="2" xfId="0" applyFont="1" applyBorder="1" applyAlignment="1">
      <alignment horizontal="center" vertical="center" textRotation="60"/>
    </xf>
    <xf numFmtId="0" fontId="6" fillId="0" borderId="3" xfId="0" applyFont="1" applyBorder="1" applyAlignment="1">
      <alignment horizontal="center" vertical="center" textRotation="60"/>
    </xf>
    <xf numFmtId="0" fontId="6" fillId="0" borderId="4" xfId="0" applyFont="1" applyBorder="1" applyAlignment="1">
      <alignment horizontal="center" vertical="center" textRotation="60"/>
    </xf>
    <xf numFmtId="0" fontId="2" fillId="0" borderId="2" xfId="0" applyFont="1" applyBorder="1" applyAlignment="1">
      <alignment horizontal="center" vertical="center" textRotation="60"/>
    </xf>
    <xf numFmtId="0" fontId="2" fillId="0" borderId="3" xfId="0" applyFont="1" applyBorder="1" applyAlignment="1">
      <alignment horizontal="center" vertical="center" textRotation="60"/>
    </xf>
    <xf numFmtId="0" fontId="1" fillId="0" borderId="2" xfId="0" applyFont="1" applyBorder="1" applyAlignment="1">
      <alignment horizontal="center" vertical="center" textRotation="45"/>
    </xf>
    <xf numFmtId="0" fontId="1" fillId="0" borderId="3" xfId="0" applyFont="1" applyBorder="1" applyAlignment="1">
      <alignment horizontal="center" vertical="center" textRotation="45"/>
    </xf>
    <xf numFmtId="0" fontId="1" fillId="0" borderId="4" xfId="0" applyFont="1" applyBorder="1" applyAlignment="1">
      <alignment horizontal="center" vertical="center" textRotation="45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5" xfId="0" applyFont="1" applyBorder="1" applyAlignment="1">
      <alignment horizontal="center" vertical="center" textRotation="60"/>
    </xf>
    <xf numFmtId="0" fontId="3" fillId="0" borderId="6" xfId="0" applyFont="1" applyBorder="1" applyAlignment="1">
      <alignment horizontal="center" vertical="center" textRotation="60"/>
    </xf>
    <xf numFmtId="0" fontId="3" fillId="0" borderId="7" xfId="0" applyFont="1" applyBorder="1" applyAlignment="1">
      <alignment horizontal="center" vertical="center" textRotation="60"/>
    </xf>
    <xf numFmtId="0" fontId="15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60"/>
    </xf>
    <xf numFmtId="0" fontId="2" fillId="0" borderId="4" xfId="0" applyFont="1" applyBorder="1" applyAlignment="1">
      <alignment horizontal="center" vertical="center" textRotation="6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557122</xdr:colOff>
      <xdr:row>21</xdr:row>
      <xdr:rowOff>116817</xdr:rowOff>
    </xdr:from>
    <xdr:to>
      <xdr:col>8</xdr:col>
      <xdr:colOff>364077</xdr:colOff>
      <xdr:row>34</xdr:row>
      <xdr:rowOff>70059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D2DEF519-58EE-FE0F-B0C2-283B7B71D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768" y="4259293"/>
          <a:ext cx="1810800" cy="2406379"/>
        </a:xfrm>
        <a:prstGeom prst="rect">
          <a:avLst/>
        </a:prstGeom>
      </xdr:spPr>
    </xdr:pic>
    <xdr:clientData/>
  </xdr:twoCellAnchor>
  <xdr:twoCellAnchor editAs="oneCell">
    <xdr:from>
      <xdr:col>8</xdr:col>
      <xdr:colOff>979457</xdr:colOff>
      <xdr:row>23</xdr:row>
      <xdr:rowOff>44929</xdr:rowOff>
    </xdr:from>
    <xdr:to>
      <xdr:col>10</xdr:col>
      <xdr:colOff>155590</xdr:colOff>
      <xdr:row>35</xdr:row>
      <xdr:rowOff>172522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3A0E66A9-13EC-6265-85CB-093FB75C5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2948" y="4564811"/>
          <a:ext cx="1800000" cy="2392027"/>
        </a:xfrm>
        <a:prstGeom prst="rect">
          <a:avLst/>
        </a:prstGeom>
      </xdr:spPr>
    </xdr:pic>
    <xdr:clientData/>
  </xdr:twoCellAnchor>
  <xdr:twoCellAnchor editAs="oneCell">
    <xdr:from>
      <xdr:col>8</xdr:col>
      <xdr:colOff>880613</xdr:colOff>
      <xdr:row>38</xdr:row>
      <xdr:rowOff>107830</xdr:rowOff>
    </xdr:from>
    <xdr:to>
      <xdr:col>10</xdr:col>
      <xdr:colOff>682926</xdr:colOff>
      <xdr:row>55</xdr:row>
      <xdr:rowOff>124041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6C45DDB9-D359-34BB-0FAF-F76A905DF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4104" y="7458255"/>
          <a:ext cx="2426180" cy="322415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1</xdr:rowOff>
    </xdr:from>
    <xdr:to>
      <xdr:col>8</xdr:col>
      <xdr:colOff>559952</xdr:colOff>
      <xdr:row>48</xdr:row>
      <xdr:rowOff>127594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62879944-A1F6-50C0-4325-4F8C18522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3443" y="6973020"/>
          <a:ext cx="1800000" cy="2392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C2B4-07A5-4C40-A257-178C0DC30018}">
  <dimension ref="A1:O69"/>
  <sheetViews>
    <sheetView zoomScale="106" zoomScaleNormal="106" workbookViewId="0">
      <selection activeCell="G11" sqref="G11"/>
    </sheetView>
  </sheetViews>
  <sheetFormatPr baseColWidth="10" defaultRowHeight="15" x14ac:dyDescent="0.25"/>
  <cols>
    <col min="1" max="1" width="13.42578125" customWidth="1"/>
    <col min="2" max="2" width="19.140625" customWidth="1"/>
    <col min="3" max="3" width="15" customWidth="1"/>
    <col min="4" max="4" width="18.5703125" bestFit="1" customWidth="1"/>
    <col min="7" max="7" width="11.42578125" style="16"/>
    <col min="8" max="8" width="18.5703125" bestFit="1" customWidth="1"/>
    <col min="9" max="9" width="20.7109375" customWidth="1"/>
    <col min="10" max="10" width="18.5703125" customWidth="1"/>
    <col min="14" max="14" width="13.42578125" customWidth="1"/>
    <col min="15" max="15" width="19.85546875" customWidth="1"/>
    <col min="16" max="16" width="14" customWidth="1"/>
  </cols>
  <sheetData>
    <row r="1" spans="1:14" ht="27.75" customHeight="1" x14ac:dyDescent="0.25">
      <c r="B1" s="101" t="s">
        <v>252</v>
      </c>
      <c r="C1" s="101"/>
      <c r="D1" s="101"/>
      <c r="E1" s="101"/>
      <c r="F1" s="101"/>
    </row>
    <row r="2" spans="1:14" ht="15" customHeight="1" x14ac:dyDescent="0.25">
      <c r="A2" s="43" t="s">
        <v>121</v>
      </c>
      <c r="B2" s="44" t="s">
        <v>54</v>
      </c>
      <c r="C2" s="45" t="s">
        <v>264</v>
      </c>
      <c r="D2" s="1" t="s">
        <v>0</v>
      </c>
      <c r="E2" s="1" t="s">
        <v>26</v>
      </c>
      <c r="F2" s="1" t="s">
        <v>2</v>
      </c>
    </row>
    <row r="3" spans="1:14" x14ac:dyDescent="0.25">
      <c r="A3" s="43"/>
      <c r="B3" s="44"/>
      <c r="C3" s="46"/>
      <c r="D3" s="1" t="s">
        <v>10</v>
      </c>
      <c r="E3" s="3"/>
      <c r="F3" s="1"/>
    </row>
    <row r="4" spans="1:14" x14ac:dyDescent="0.25">
      <c r="A4" s="43"/>
      <c r="B4" s="44"/>
      <c r="C4" s="46"/>
      <c r="D4" s="1" t="s">
        <v>55</v>
      </c>
      <c r="E4" s="3"/>
      <c r="F4" s="1"/>
    </row>
    <row r="5" spans="1:14" x14ac:dyDescent="0.25">
      <c r="A5" s="43"/>
      <c r="B5" s="44"/>
      <c r="C5" s="46"/>
      <c r="D5" s="1" t="s">
        <v>57</v>
      </c>
      <c r="E5" s="3"/>
      <c r="F5" s="1"/>
    </row>
    <row r="6" spans="1:14" x14ac:dyDescent="0.25">
      <c r="A6" s="43"/>
      <c r="B6" s="44"/>
      <c r="C6" s="46"/>
      <c r="D6" s="1" t="s">
        <v>59</v>
      </c>
      <c r="E6" s="3"/>
      <c r="F6" s="1"/>
    </row>
    <row r="7" spans="1:14" x14ac:dyDescent="0.25">
      <c r="A7" s="43"/>
      <c r="B7" s="44"/>
      <c r="C7" s="46"/>
      <c r="D7" s="1" t="s">
        <v>60</v>
      </c>
      <c r="E7" s="1"/>
      <c r="F7" s="1"/>
    </row>
    <row r="8" spans="1:14" x14ac:dyDescent="0.25">
      <c r="A8" s="43"/>
      <c r="B8" s="44"/>
      <c r="C8" s="47"/>
      <c r="D8" s="1" t="s">
        <v>61</v>
      </c>
      <c r="E8" s="1"/>
      <c r="F8" s="1"/>
    </row>
    <row r="9" spans="1:14" x14ac:dyDescent="0.25">
      <c r="A9" s="43"/>
      <c r="B9" s="44"/>
      <c r="C9" s="98"/>
      <c r="D9" s="99"/>
      <c r="E9" s="100"/>
      <c r="F9" s="1">
        <f>SUM(F3:F8)</f>
        <v>0</v>
      </c>
    </row>
    <row r="10" spans="1:14" x14ac:dyDescent="0.25">
      <c r="A10" s="43"/>
      <c r="B10" s="44"/>
      <c r="C10" s="45" t="s">
        <v>73</v>
      </c>
      <c r="D10" s="1" t="s">
        <v>68</v>
      </c>
      <c r="E10" s="3"/>
      <c r="F10" s="1"/>
      <c r="I10" s="56" t="s">
        <v>156</v>
      </c>
      <c r="J10" s="1" t="s">
        <v>0</v>
      </c>
      <c r="K10" s="1" t="s">
        <v>26</v>
      </c>
      <c r="L10" s="1" t="s">
        <v>2</v>
      </c>
      <c r="N10" s="32"/>
    </row>
    <row r="11" spans="1:14" x14ac:dyDescent="0.25">
      <c r="A11" s="43"/>
      <c r="B11" s="44"/>
      <c r="C11" s="46"/>
      <c r="D11" s="1" t="s">
        <v>70</v>
      </c>
      <c r="E11" s="3"/>
      <c r="F11" s="1"/>
      <c r="I11" s="57"/>
      <c r="J11" s="1" t="s">
        <v>261</v>
      </c>
      <c r="K11" s="1" t="s">
        <v>262</v>
      </c>
      <c r="L11" s="1">
        <v>0.47299999999999998</v>
      </c>
      <c r="N11" s="32"/>
    </row>
    <row r="12" spans="1:14" ht="15" customHeight="1" x14ac:dyDescent="0.25">
      <c r="A12" s="43"/>
      <c r="B12" s="44"/>
      <c r="C12" s="46"/>
      <c r="D12" s="1" t="s">
        <v>71</v>
      </c>
      <c r="E12" s="3"/>
      <c r="F12" s="1"/>
      <c r="I12" s="57"/>
      <c r="J12" s="1" t="s">
        <v>158</v>
      </c>
      <c r="K12" s="1" t="s">
        <v>16</v>
      </c>
      <c r="L12" s="1">
        <v>0.1</v>
      </c>
      <c r="N12" s="32"/>
    </row>
    <row r="13" spans="1:14" x14ac:dyDescent="0.25">
      <c r="A13" s="43"/>
      <c r="B13" s="44"/>
      <c r="C13" s="46"/>
      <c r="D13" s="1" t="s">
        <v>180</v>
      </c>
      <c r="E13" s="3"/>
      <c r="F13" s="1"/>
      <c r="I13" s="57"/>
      <c r="J13" s="1" t="s">
        <v>159</v>
      </c>
      <c r="K13" s="1" t="s">
        <v>16</v>
      </c>
      <c r="L13" s="1">
        <v>0.2</v>
      </c>
      <c r="N13" s="32"/>
    </row>
    <row r="14" spans="1:14" x14ac:dyDescent="0.25">
      <c r="A14" s="43"/>
      <c r="B14" s="44"/>
      <c r="C14" s="46"/>
      <c r="D14" s="1" t="s">
        <v>74</v>
      </c>
      <c r="E14" s="1"/>
      <c r="F14" s="1"/>
      <c r="I14" s="57"/>
      <c r="J14" s="1" t="s">
        <v>150</v>
      </c>
      <c r="K14" s="1" t="s">
        <v>15</v>
      </c>
      <c r="L14" s="1">
        <v>0.255</v>
      </c>
      <c r="N14" s="32"/>
    </row>
    <row r="15" spans="1:14" x14ac:dyDescent="0.25">
      <c r="A15" s="43"/>
      <c r="B15" s="44"/>
      <c r="C15" s="46"/>
      <c r="D15" s="1" t="s">
        <v>75</v>
      </c>
      <c r="E15" s="1"/>
      <c r="F15" s="1"/>
      <c r="I15" s="55"/>
      <c r="J15" s="55"/>
      <c r="K15" s="55"/>
      <c r="L15" s="1">
        <f>SUM(L11:L14)</f>
        <v>1.028</v>
      </c>
      <c r="N15" s="32"/>
    </row>
    <row r="16" spans="1:14" x14ac:dyDescent="0.25">
      <c r="A16" s="43"/>
      <c r="B16" s="44"/>
      <c r="C16" s="46"/>
      <c r="D16" s="1" t="s">
        <v>76</v>
      </c>
      <c r="E16" s="1"/>
      <c r="F16" s="1"/>
      <c r="N16" s="32"/>
    </row>
    <row r="17" spans="1:15" ht="15.75" thickBot="1" x14ac:dyDescent="0.3">
      <c r="A17" s="43"/>
      <c r="B17" s="44"/>
      <c r="C17" s="46"/>
      <c r="D17" s="4" t="s">
        <v>77</v>
      </c>
      <c r="E17" s="4"/>
      <c r="F17" s="4"/>
      <c r="K17" s="86" t="s">
        <v>222</v>
      </c>
      <c r="L17" s="1" t="s">
        <v>0</v>
      </c>
      <c r="M17" s="1" t="s">
        <v>26</v>
      </c>
      <c r="N17" s="1" t="s">
        <v>2</v>
      </c>
    </row>
    <row r="18" spans="1:15" x14ac:dyDescent="0.25">
      <c r="A18" s="43"/>
      <c r="B18" s="44"/>
      <c r="C18" s="51"/>
      <c r="D18" s="20" t="s">
        <v>78</v>
      </c>
      <c r="E18" s="21"/>
      <c r="F18" s="21"/>
      <c r="G18" s="22"/>
      <c r="H18" s="59"/>
      <c r="I18" s="62"/>
      <c r="J18" s="28"/>
      <c r="K18" s="87"/>
      <c r="L18" s="1" t="s">
        <v>223</v>
      </c>
      <c r="M18" s="1" t="s">
        <v>224</v>
      </c>
      <c r="N18" s="1">
        <v>12.5</v>
      </c>
    </row>
    <row r="19" spans="1:15" x14ac:dyDescent="0.25">
      <c r="A19" s="43"/>
      <c r="B19" s="44"/>
      <c r="C19" s="51"/>
      <c r="D19" s="23" t="s">
        <v>80</v>
      </c>
      <c r="E19" s="1"/>
      <c r="F19" s="1"/>
      <c r="H19" s="60"/>
      <c r="I19" s="60"/>
      <c r="J19" s="29"/>
      <c r="K19" s="87"/>
      <c r="L19" s="1" t="s">
        <v>28</v>
      </c>
      <c r="M19" s="1" t="s">
        <v>225</v>
      </c>
      <c r="N19" s="1">
        <v>3.6</v>
      </c>
    </row>
    <row r="20" spans="1:15" ht="15.75" thickBot="1" x14ac:dyDescent="0.3">
      <c r="A20" s="43"/>
      <c r="B20" s="44"/>
      <c r="C20" s="51"/>
      <c r="D20" s="24" t="s">
        <v>81</v>
      </c>
      <c r="E20" s="25"/>
      <c r="F20" s="25"/>
      <c r="G20" s="26"/>
      <c r="H20" s="61"/>
      <c r="I20" s="61"/>
      <c r="J20" s="27"/>
      <c r="K20" s="87"/>
      <c r="L20" s="1"/>
      <c r="M20" s="1"/>
      <c r="N20" s="1"/>
    </row>
    <row r="21" spans="1:15" x14ac:dyDescent="0.25">
      <c r="A21" s="43"/>
      <c r="B21" s="44"/>
      <c r="C21" s="46"/>
      <c r="D21" s="19" t="s">
        <v>259</v>
      </c>
      <c r="E21" s="19"/>
      <c r="F21" s="19"/>
      <c r="K21" s="87"/>
      <c r="L21" s="1"/>
      <c r="M21" s="1"/>
      <c r="N21" s="1"/>
    </row>
    <row r="22" spans="1:15" ht="15" customHeight="1" x14ac:dyDescent="0.25">
      <c r="A22" s="43"/>
      <c r="B22" s="44"/>
      <c r="C22" s="46"/>
      <c r="D22" s="1" t="s">
        <v>84</v>
      </c>
      <c r="E22" s="1"/>
      <c r="F22" s="1"/>
      <c r="K22" s="88"/>
      <c r="L22" s="1"/>
      <c r="M22" s="1"/>
      <c r="N22" s="1"/>
    </row>
    <row r="23" spans="1:15" x14ac:dyDescent="0.25">
      <c r="A23" s="43"/>
      <c r="B23" s="44"/>
      <c r="C23" s="46"/>
      <c r="D23" s="1" t="s">
        <v>85</v>
      </c>
      <c r="E23" s="1"/>
      <c r="F23" s="1"/>
      <c r="K23" s="55"/>
      <c r="L23" s="55"/>
      <c r="M23" s="55"/>
      <c r="N23" s="1">
        <f>SUM(N18:N22)</f>
        <v>16.100000000000001</v>
      </c>
      <c r="O23">
        <f>16.1*0.02</f>
        <v>0.32200000000000001</v>
      </c>
    </row>
    <row r="24" spans="1:15" x14ac:dyDescent="0.25">
      <c r="A24" s="43"/>
      <c r="B24" s="44"/>
      <c r="C24" s="46"/>
      <c r="D24" s="1" t="s">
        <v>86</v>
      </c>
      <c r="E24" s="1"/>
      <c r="F24" s="1"/>
    </row>
    <row r="25" spans="1:15" x14ac:dyDescent="0.25">
      <c r="A25" s="43"/>
      <c r="B25" s="44"/>
      <c r="C25" s="46"/>
      <c r="D25" s="1" t="s">
        <v>263</v>
      </c>
      <c r="E25" s="1"/>
      <c r="F25" s="1"/>
    </row>
    <row r="26" spans="1:15" x14ac:dyDescent="0.25">
      <c r="A26" s="43"/>
      <c r="B26" s="44"/>
      <c r="C26" s="46"/>
      <c r="D26" s="1" t="s">
        <v>88</v>
      </c>
      <c r="E26" s="1"/>
      <c r="F26" s="1"/>
    </row>
    <row r="27" spans="1:15" x14ac:dyDescent="0.25">
      <c r="A27" s="43"/>
      <c r="B27" s="44"/>
      <c r="C27" s="47"/>
      <c r="D27" s="1" t="s">
        <v>89</v>
      </c>
      <c r="E27" s="1"/>
      <c r="F27" s="1"/>
    </row>
    <row r="28" spans="1:15" x14ac:dyDescent="0.25">
      <c r="A28" s="43"/>
      <c r="B28" s="44"/>
      <c r="C28" s="95"/>
      <c r="D28" s="96"/>
      <c r="E28" s="97"/>
      <c r="F28" s="1">
        <f>SUM(F10:F27)</f>
        <v>0</v>
      </c>
    </row>
    <row r="29" spans="1:15" x14ac:dyDescent="0.25">
      <c r="A29" s="43"/>
      <c r="B29" s="44"/>
      <c r="C29" s="63" t="s">
        <v>99</v>
      </c>
      <c r="D29" s="1" t="s">
        <v>94</v>
      </c>
      <c r="E29" s="1"/>
      <c r="F29" s="1"/>
    </row>
    <row r="30" spans="1:15" x14ac:dyDescent="0.25">
      <c r="A30" s="43"/>
      <c r="B30" s="44"/>
      <c r="C30" s="64"/>
      <c r="D30" s="1" t="s">
        <v>95</v>
      </c>
      <c r="E30" s="1"/>
      <c r="F30" s="1"/>
    </row>
    <row r="31" spans="1:15" ht="15" customHeight="1" x14ac:dyDescent="0.25">
      <c r="A31" s="43"/>
      <c r="B31" s="44"/>
      <c r="C31" s="64"/>
      <c r="D31" s="1" t="s">
        <v>96</v>
      </c>
      <c r="E31" s="1"/>
      <c r="F31" s="1"/>
    </row>
    <row r="32" spans="1:15" x14ac:dyDescent="0.25">
      <c r="A32" s="43"/>
      <c r="B32" s="44"/>
      <c r="C32" s="64"/>
      <c r="D32" s="1" t="s">
        <v>27</v>
      </c>
      <c r="E32" s="1"/>
      <c r="F32" s="1"/>
    </row>
    <row r="33" spans="1:6" x14ac:dyDescent="0.25">
      <c r="A33" s="43"/>
      <c r="B33" s="44"/>
      <c r="C33" s="64"/>
      <c r="D33" s="1" t="s">
        <v>97</v>
      </c>
      <c r="E33" s="1"/>
      <c r="F33" s="1"/>
    </row>
    <row r="34" spans="1:6" x14ac:dyDescent="0.25">
      <c r="A34" s="43"/>
      <c r="B34" s="44"/>
      <c r="C34" s="64"/>
      <c r="D34" s="1" t="s">
        <v>91</v>
      </c>
      <c r="E34" s="1"/>
      <c r="F34" s="1"/>
    </row>
    <row r="35" spans="1:6" x14ac:dyDescent="0.25">
      <c r="A35" s="43"/>
      <c r="B35" s="44"/>
      <c r="C35" s="65"/>
      <c r="D35" s="1" t="s">
        <v>98</v>
      </c>
      <c r="E35" s="1"/>
      <c r="F35" s="1"/>
    </row>
    <row r="36" spans="1:6" x14ac:dyDescent="0.25">
      <c r="A36" s="43"/>
      <c r="B36" s="98"/>
      <c r="C36" s="99"/>
      <c r="D36" s="99"/>
      <c r="E36" s="100"/>
      <c r="F36" s="1">
        <f>SUM(F29:F35)</f>
        <v>0</v>
      </c>
    </row>
    <row r="37" spans="1:6" x14ac:dyDescent="0.25">
      <c r="A37" s="43"/>
      <c r="B37" s="13"/>
      <c r="C37" s="1"/>
      <c r="D37" s="1" t="s">
        <v>212</v>
      </c>
      <c r="E37" s="1"/>
      <c r="F37" s="1"/>
    </row>
    <row r="38" spans="1:6" ht="15" customHeight="1" x14ac:dyDescent="0.25">
      <c r="A38" s="43"/>
      <c r="B38" s="38" t="s">
        <v>251</v>
      </c>
      <c r="C38" s="39" t="s">
        <v>67</v>
      </c>
      <c r="D38" s="1" t="s">
        <v>100</v>
      </c>
      <c r="E38" s="1"/>
      <c r="F38" s="1"/>
    </row>
    <row r="39" spans="1:6" x14ac:dyDescent="0.25">
      <c r="A39" s="43"/>
      <c r="B39" s="38"/>
      <c r="C39" s="40"/>
      <c r="D39" s="1" t="s">
        <v>103</v>
      </c>
      <c r="E39" s="1"/>
      <c r="F39" s="1"/>
    </row>
    <row r="40" spans="1:6" x14ac:dyDescent="0.25">
      <c r="A40" s="43"/>
      <c r="B40" s="38"/>
      <c r="C40" s="40"/>
      <c r="D40" s="1" t="s">
        <v>105</v>
      </c>
      <c r="E40" s="1"/>
      <c r="F40" s="1"/>
    </row>
    <row r="41" spans="1:6" x14ac:dyDescent="0.25">
      <c r="A41" s="43"/>
      <c r="B41" s="38"/>
      <c r="C41" s="40"/>
      <c r="D41" s="1" t="s">
        <v>106</v>
      </c>
      <c r="E41" s="1"/>
      <c r="F41" s="1"/>
    </row>
    <row r="42" spans="1:6" x14ac:dyDescent="0.25">
      <c r="A42" s="43"/>
      <c r="B42" s="38"/>
      <c r="C42" s="40"/>
      <c r="D42" s="1" t="s">
        <v>13</v>
      </c>
      <c r="E42" s="1"/>
      <c r="F42" s="1"/>
    </row>
    <row r="43" spans="1:6" x14ac:dyDescent="0.25">
      <c r="A43" s="43"/>
      <c r="B43" s="38"/>
      <c r="C43" s="40"/>
      <c r="D43" s="1" t="s">
        <v>109</v>
      </c>
      <c r="E43" s="1"/>
      <c r="F43" s="1"/>
    </row>
    <row r="44" spans="1:6" x14ac:dyDescent="0.25">
      <c r="A44" s="43"/>
      <c r="B44" s="38"/>
      <c r="C44" s="40"/>
      <c r="D44" s="1" t="s">
        <v>110</v>
      </c>
      <c r="E44" s="1"/>
      <c r="F44" s="1"/>
    </row>
    <row r="45" spans="1:6" x14ac:dyDescent="0.25">
      <c r="A45" s="43"/>
      <c r="B45" s="38"/>
      <c r="C45" s="40"/>
      <c r="D45" s="1" t="s">
        <v>111</v>
      </c>
      <c r="E45" s="1"/>
      <c r="F45" s="1"/>
    </row>
    <row r="46" spans="1:6" x14ac:dyDescent="0.25">
      <c r="A46" s="43"/>
      <c r="B46" s="38"/>
      <c r="C46" s="40"/>
      <c r="D46" s="1" t="s">
        <v>112</v>
      </c>
      <c r="E46" s="1"/>
      <c r="F46" s="1"/>
    </row>
    <row r="47" spans="1:6" x14ac:dyDescent="0.25">
      <c r="A47" s="43"/>
      <c r="B47" s="38"/>
      <c r="C47" s="40"/>
      <c r="D47" s="1" t="s">
        <v>113</v>
      </c>
      <c r="E47" s="1"/>
      <c r="F47" s="1"/>
    </row>
    <row r="48" spans="1:6" x14ac:dyDescent="0.25">
      <c r="A48" s="43"/>
      <c r="B48" s="38"/>
      <c r="C48" s="40"/>
      <c r="D48" s="1" t="s">
        <v>114</v>
      </c>
      <c r="E48" s="1"/>
      <c r="F48" s="1"/>
    </row>
    <row r="49" spans="1:6" x14ac:dyDescent="0.25">
      <c r="A49" s="43"/>
      <c r="B49" s="38"/>
      <c r="C49" s="40"/>
      <c r="D49" s="1" t="s">
        <v>116</v>
      </c>
      <c r="E49" s="1"/>
      <c r="F49" s="1"/>
    </row>
    <row r="50" spans="1:6" x14ac:dyDescent="0.25">
      <c r="A50" s="43"/>
      <c r="B50" s="38"/>
      <c r="C50" s="40"/>
      <c r="D50" s="1" t="s">
        <v>117</v>
      </c>
      <c r="E50" s="1"/>
      <c r="F50" s="1"/>
    </row>
    <row r="51" spans="1:6" x14ac:dyDescent="0.25">
      <c r="A51" s="43"/>
      <c r="B51" s="38"/>
      <c r="C51" s="40"/>
      <c r="D51" s="1" t="s">
        <v>118</v>
      </c>
      <c r="E51" s="1"/>
      <c r="F51" s="1"/>
    </row>
    <row r="52" spans="1:6" x14ac:dyDescent="0.25">
      <c r="A52" s="43"/>
      <c r="B52" s="38"/>
      <c r="C52" s="40"/>
      <c r="D52" s="1" t="s">
        <v>219</v>
      </c>
      <c r="E52" s="1"/>
      <c r="F52" s="1"/>
    </row>
    <row r="53" spans="1:6" x14ac:dyDescent="0.25">
      <c r="A53" s="43"/>
      <c r="B53" s="38"/>
      <c r="C53" s="40"/>
      <c r="D53" s="1" t="s">
        <v>220</v>
      </c>
      <c r="E53" s="1"/>
      <c r="F53" s="1"/>
    </row>
    <row r="54" spans="1:6" x14ac:dyDescent="0.25">
      <c r="A54" s="43"/>
      <c r="B54" s="38"/>
      <c r="C54" s="40"/>
      <c r="D54" s="1" t="s">
        <v>227</v>
      </c>
      <c r="E54" s="1"/>
      <c r="F54" s="1"/>
    </row>
    <row r="55" spans="1:6" x14ac:dyDescent="0.25">
      <c r="A55" s="43"/>
      <c r="B55" s="38"/>
      <c r="C55" s="40"/>
      <c r="D55" s="1" t="s">
        <v>221</v>
      </c>
      <c r="E55" s="1"/>
      <c r="F55" s="1"/>
    </row>
    <row r="56" spans="1:6" x14ac:dyDescent="0.25">
      <c r="A56" s="43"/>
      <c r="B56" s="38"/>
      <c r="C56" s="40"/>
      <c r="D56" s="1" t="s">
        <v>108</v>
      </c>
      <c r="E56" s="1"/>
      <c r="F56" s="1"/>
    </row>
    <row r="57" spans="1:6" x14ac:dyDescent="0.25">
      <c r="A57" s="43"/>
      <c r="B57" s="38"/>
      <c r="C57" s="40"/>
      <c r="D57" s="1" t="s">
        <v>107</v>
      </c>
      <c r="E57" s="1"/>
      <c r="F57" s="1"/>
    </row>
    <row r="58" spans="1:6" x14ac:dyDescent="0.25">
      <c r="A58" s="43"/>
      <c r="B58" s="38"/>
      <c r="C58" s="40"/>
      <c r="D58" s="1" t="s">
        <v>203</v>
      </c>
      <c r="E58" s="1"/>
      <c r="F58" s="1"/>
    </row>
    <row r="59" spans="1:6" x14ac:dyDescent="0.25">
      <c r="A59" s="43"/>
      <c r="B59" s="38"/>
      <c r="C59" s="40"/>
      <c r="D59" s="1" t="s">
        <v>226</v>
      </c>
      <c r="E59" s="1"/>
      <c r="F59" s="1"/>
    </row>
    <row r="60" spans="1:6" x14ac:dyDescent="0.25">
      <c r="A60" s="43"/>
      <c r="B60" s="38"/>
      <c r="C60" s="41"/>
      <c r="D60" s="1" t="s">
        <v>119</v>
      </c>
      <c r="E60" s="1"/>
      <c r="F60" s="1"/>
    </row>
    <row r="61" spans="1:6" ht="15" customHeight="1" x14ac:dyDescent="0.25">
      <c r="A61" s="43"/>
      <c r="B61" s="95"/>
      <c r="C61" s="96"/>
      <c r="D61" s="96"/>
      <c r="E61" s="97"/>
      <c r="F61" s="1">
        <f>SUM(F37:F60)</f>
        <v>0</v>
      </c>
    </row>
    <row r="62" spans="1:6" ht="14.25" customHeight="1" x14ac:dyDescent="0.25">
      <c r="A62" s="43"/>
      <c r="B62" s="55"/>
      <c r="C62" s="56" t="s">
        <v>127</v>
      </c>
      <c r="D62" s="1" t="s">
        <v>0</v>
      </c>
      <c r="E62" s="1" t="s">
        <v>126</v>
      </c>
      <c r="F62" s="1" t="s">
        <v>2</v>
      </c>
    </row>
    <row r="63" spans="1:6" x14ac:dyDescent="0.25">
      <c r="A63" s="43"/>
      <c r="B63" s="55"/>
      <c r="C63" s="57"/>
      <c r="D63" s="1" t="s">
        <v>122</v>
      </c>
      <c r="E63" s="1"/>
      <c r="F63" s="1"/>
    </row>
    <row r="64" spans="1:6" x14ac:dyDescent="0.25">
      <c r="A64" s="43"/>
      <c r="B64" s="55"/>
      <c r="C64" s="57"/>
      <c r="D64" s="1" t="s">
        <v>123</v>
      </c>
      <c r="E64" s="1"/>
      <c r="F64" s="1"/>
    </row>
    <row r="65" spans="1:6" x14ac:dyDescent="0.25">
      <c r="A65" s="43"/>
      <c r="B65" s="55"/>
      <c r="C65" s="57"/>
      <c r="D65" s="1" t="s">
        <v>124</v>
      </c>
      <c r="E65" s="1"/>
      <c r="F65" s="1"/>
    </row>
    <row r="66" spans="1:6" x14ac:dyDescent="0.25">
      <c r="A66" s="43"/>
      <c r="B66" s="55"/>
      <c r="C66" s="58"/>
      <c r="D66" s="1" t="s">
        <v>125</v>
      </c>
      <c r="E66" s="1"/>
      <c r="F66" s="1"/>
    </row>
    <row r="67" spans="1:6" x14ac:dyDescent="0.25">
      <c r="A67" s="43"/>
      <c r="B67" s="55"/>
      <c r="C67" s="95"/>
      <c r="D67" s="96"/>
      <c r="E67" s="97"/>
      <c r="F67" s="1">
        <f>SUM(F62:F66)</f>
        <v>0</v>
      </c>
    </row>
    <row r="68" spans="1:6" x14ac:dyDescent="0.25">
      <c r="A68" s="94" t="s">
        <v>29</v>
      </c>
      <c r="B68" s="94"/>
      <c r="C68" s="94"/>
      <c r="D68" s="94"/>
      <c r="E68" s="55">
        <f>F9+F28+F36+F61+F67</f>
        <v>0</v>
      </c>
      <c r="F68" s="55"/>
    </row>
    <row r="69" spans="1:6" x14ac:dyDescent="0.25">
      <c r="A69" s="94"/>
      <c r="B69" s="94"/>
      <c r="C69" s="94"/>
      <c r="D69" s="94"/>
      <c r="E69" s="55"/>
      <c r="F69" s="55"/>
    </row>
  </sheetData>
  <mergeCells count="23">
    <mergeCell ref="B1:F1"/>
    <mergeCell ref="C62:C66"/>
    <mergeCell ref="C67:E67"/>
    <mergeCell ref="I10:I14"/>
    <mergeCell ref="I15:K15"/>
    <mergeCell ref="K17:K22"/>
    <mergeCell ref="K23:M23"/>
    <mergeCell ref="A68:D69"/>
    <mergeCell ref="E68:F69"/>
    <mergeCell ref="H18:H20"/>
    <mergeCell ref="I18:I20"/>
    <mergeCell ref="C28:E28"/>
    <mergeCell ref="C29:C35"/>
    <mergeCell ref="B36:E36"/>
    <mergeCell ref="B38:B60"/>
    <mergeCell ref="C38:C60"/>
    <mergeCell ref="A2:A67"/>
    <mergeCell ref="B2:B35"/>
    <mergeCell ref="C2:C8"/>
    <mergeCell ref="C9:E9"/>
    <mergeCell ref="C10:C27"/>
    <mergeCell ref="B61:E61"/>
    <mergeCell ref="B62:B67"/>
  </mergeCells>
  <pageMargins left="0.7" right="0.7" top="0.75" bottom="0.75" header="0.3" footer="0.3"/>
  <pageSetup paperSize="9" scale="70" orientation="portrait" horizontalDpi="360" verticalDpi="360" r:id="rId1"/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C94D-58DC-489E-8B7F-3BE56E709625}">
  <dimension ref="A1:N370"/>
  <sheetViews>
    <sheetView tabSelected="1" topLeftCell="A118" zoomScale="106" zoomScaleNormal="106" workbookViewId="0">
      <selection activeCell="G142" sqref="G142"/>
    </sheetView>
  </sheetViews>
  <sheetFormatPr baseColWidth="10" defaultRowHeight="15" x14ac:dyDescent="0.25"/>
  <cols>
    <col min="1" max="1" width="13.42578125" customWidth="1"/>
    <col min="2" max="2" width="19.140625" customWidth="1"/>
    <col min="3" max="3" width="15" customWidth="1"/>
    <col min="4" max="4" width="18.5703125" bestFit="1" customWidth="1"/>
    <col min="7" max="7" width="11.42578125" style="16"/>
    <col min="8" max="8" width="18.5703125" bestFit="1" customWidth="1"/>
    <col min="9" max="9" width="20.7109375" customWidth="1"/>
    <col min="10" max="10" width="18.5703125" customWidth="1"/>
    <col min="14" max="14" width="13.42578125" customWidth="1"/>
    <col min="15" max="15" width="19.85546875" customWidth="1"/>
    <col min="16" max="16" width="14" customWidth="1"/>
  </cols>
  <sheetData>
    <row r="1" spans="1:14" ht="27.75" customHeight="1" x14ac:dyDescent="0.25">
      <c r="B1" s="42" t="s">
        <v>252</v>
      </c>
      <c r="C1" s="42"/>
      <c r="D1" s="42"/>
      <c r="E1" s="42"/>
      <c r="F1" s="42"/>
      <c r="G1" s="16" t="s">
        <v>258</v>
      </c>
    </row>
    <row r="2" spans="1:14" ht="15" customHeight="1" x14ac:dyDescent="0.25">
      <c r="A2" s="43" t="s">
        <v>121</v>
      </c>
      <c r="B2" s="44" t="s">
        <v>54</v>
      </c>
      <c r="C2" s="45" t="s">
        <v>72</v>
      </c>
      <c r="D2" s="1" t="s">
        <v>0</v>
      </c>
      <c r="E2" s="1" t="s">
        <v>26</v>
      </c>
      <c r="F2" s="1" t="s">
        <v>2</v>
      </c>
    </row>
    <row r="3" spans="1:14" x14ac:dyDescent="0.25">
      <c r="A3" s="43"/>
      <c r="B3" s="44"/>
      <c r="C3" s="46"/>
      <c r="D3" s="1" t="s">
        <v>10</v>
      </c>
      <c r="E3" s="3" t="s">
        <v>20</v>
      </c>
      <c r="F3" s="1">
        <v>1.62</v>
      </c>
      <c r="G3" s="16">
        <f>6*0.25</f>
        <v>1.5</v>
      </c>
    </row>
    <row r="4" spans="1:14" x14ac:dyDescent="0.25">
      <c r="A4" s="43"/>
      <c r="B4" s="44"/>
      <c r="C4" s="46"/>
      <c r="D4" s="1" t="s">
        <v>55</v>
      </c>
      <c r="E4" s="3" t="s">
        <v>56</v>
      </c>
      <c r="F4" s="1">
        <v>2.016</v>
      </c>
      <c r="G4" s="16">
        <f>6.9*0.3</f>
        <v>2.0699999999999998</v>
      </c>
    </row>
    <row r="5" spans="1:14" x14ac:dyDescent="0.25">
      <c r="A5" s="43"/>
      <c r="B5" s="44"/>
      <c r="C5" s="46"/>
      <c r="D5" s="1" t="s">
        <v>57</v>
      </c>
      <c r="E5" s="3">
        <v>3</v>
      </c>
      <c r="F5" s="1">
        <v>1.2110000000000001</v>
      </c>
      <c r="G5" s="16">
        <v>1.05</v>
      </c>
      <c r="H5" t="s">
        <v>254</v>
      </c>
    </row>
    <row r="6" spans="1:14" x14ac:dyDescent="0.25">
      <c r="A6" s="43"/>
      <c r="B6" s="44"/>
      <c r="C6" s="46"/>
      <c r="D6" s="1" t="s">
        <v>59</v>
      </c>
      <c r="E6" s="3" t="s">
        <v>7</v>
      </c>
      <c r="F6" s="1">
        <v>0.51700000000000002</v>
      </c>
      <c r="H6" s="17"/>
    </row>
    <row r="7" spans="1:14" x14ac:dyDescent="0.25">
      <c r="A7" s="43"/>
      <c r="B7" s="44"/>
      <c r="C7" s="46"/>
      <c r="D7" s="1" t="s">
        <v>60</v>
      </c>
      <c r="E7" s="1" t="s">
        <v>19</v>
      </c>
      <c r="F7" s="1">
        <v>0.6</v>
      </c>
      <c r="G7" s="16">
        <v>0.3</v>
      </c>
    </row>
    <row r="8" spans="1:14" x14ac:dyDescent="0.25">
      <c r="A8" s="43"/>
      <c r="B8" s="44"/>
      <c r="C8" s="47"/>
      <c r="D8" s="1" t="s">
        <v>61</v>
      </c>
      <c r="E8" s="1" t="s">
        <v>62</v>
      </c>
      <c r="F8" s="1">
        <v>2.6549999999999998</v>
      </c>
      <c r="G8" s="18"/>
    </row>
    <row r="9" spans="1:14" x14ac:dyDescent="0.25">
      <c r="A9" s="43"/>
      <c r="B9" s="44"/>
      <c r="C9" s="48"/>
      <c r="D9" s="49"/>
      <c r="E9" s="50"/>
      <c r="F9" s="5">
        <f>SUM(F3:F8)</f>
        <v>8.6189999999999998</v>
      </c>
    </row>
    <row r="10" spans="1:14" x14ac:dyDescent="0.25">
      <c r="A10" s="43"/>
      <c r="B10" s="44"/>
      <c r="C10" s="45" t="s">
        <v>73</v>
      </c>
      <c r="D10" s="1" t="s">
        <v>68</v>
      </c>
      <c r="E10" s="3" t="s">
        <v>69</v>
      </c>
      <c r="F10" s="1">
        <v>0.66200000000000003</v>
      </c>
      <c r="G10" s="16">
        <v>0.5</v>
      </c>
      <c r="M10" s="10"/>
      <c r="N10" s="11"/>
    </row>
    <row r="11" spans="1:14" x14ac:dyDescent="0.25">
      <c r="A11" s="43"/>
      <c r="B11" s="44"/>
      <c r="C11" s="46"/>
      <c r="D11" s="1" t="s">
        <v>70</v>
      </c>
      <c r="E11" s="3" t="s">
        <v>69</v>
      </c>
      <c r="F11" s="1">
        <v>0.95</v>
      </c>
      <c r="G11" s="16">
        <v>0.47799999999999998</v>
      </c>
      <c r="M11" s="10"/>
      <c r="N11" s="11"/>
    </row>
    <row r="12" spans="1:14" ht="15" customHeight="1" x14ac:dyDescent="0.25">
      <c r="A12" s="43"/>
      <c r="B12" s="44"/>
      <c r="C12" s="46"/>
      <c r="D12" s="1" t="s">
        <v>71</v>
      </c>
      <c r="E12" s="3" t="s">
        <v>69</v>
      </c>
      <c r="F12" s="1">
        <v>0.95</v>
      </c>
      <c r="G12" s="16">
        <v>1.0309999999999999</v>
      </c>
      <c r="M12" s="10"/>
      <c r="N12" s="11"/>
    </row>
    <row r="13" spans="1:14" x14ac:dyDescent="0.25">
      <c r="A13" s="43"/>
      <c r="B13" s="44"/>
      <c r="C13" s="46"/>
      <c r="D13" s="1" t="s">
        <v>180</v>
      </c>
      <c r="E13" s="3" t="s">
        <v>69</v>
      </c>
      <c r="F13" s="1">
        <v>0.6</v>
      </c>
      <c r="M13" s="10"/>
      <c r="N13" s="11"/>
    </row>
    <row r="14" spans="1:14" x14ac:dyDescent="0.25">
      <c r="A14" s="43"/>
      <c r="B14" s="44"/>
      <c r="C14" s="46"/>
      <c r="D14" s="1" t="s">
        <v>74</v>
      </c>
      <c r="E14" s="1" t="s">
        <v>4</v>
      </c>
      <c r="F14" s="1">
        <v>1.44</v>
      </c>
      <c r="G14" s="16">
        <v>1.552</v>
      </c>
      <c r="M14" s="10"/>
      <c r="N14" s="11"/>
    </row>
    <row r="15" spans="1:14" x14ac:dyDescent="0.25">
      <c r="A15" s="43"/>
      <c r="B15" s="44"/>
      <c r="C15" s="46"/>
      <c r="D15" s="1" t="s">
        <v>75</v>
      </c>
      <c r="E15" s="1" t="s">
        <v>17</v>
      </c>
      <c r="F15" s="1">
        <v>0.4</v>
      </c>
      <c r="M15" s="10"/>
      <c r="N15" s="11"/>
    </row>
    <row r="16" spans="1:14" x14ac:dyDescent="0.25">
      <c r="A16" s="43"/>
      <c r="B16" s="44"/>
      <c r="C16" s="46"/>
      <c r="D16" s="1" t="s">
        <v>76</v>
      </c>
      <c r="E16" s="1" t="s">
        <v>12</v>
      </c>
      <c r="F16" s="12">
        <v>0.24</v>
      </c>
      <c r="M16" s="10"/>
      <c r="N16" s="11"/>
    </row>
    <row r="17" spans="1:14" ht="15.75" thickBot="1" x14ac:dyDescent="0.3">
      <c r="A17" s="43"/>
      <c r="B17" s="44"/>
      <c r="C17" s="46"/>
      <c r="D17" s="4" t="s">
        <v>77</v>
      </c>
      <c r="E17" s="4" t="s">
        <v>19</v>
      </c>
      <c r="F17" s="4">
        <v>2.052</v>
      </c>
      <c r="G17" s="16">
        <v>2.88</v>
      </c>
      <c r="M17" s="10"/>
      <c r="N17" s="11"/>
    </row>
    <row r="18" spans="1:14" x14ac:dyDescent="0.25">
      <c r="A18" s="43"/>
      <c r="B18" s="44"/>
      <c r="C18" s="51"/>
      <c r="D18" s="20" t="s">
        <v>78</v>
      </c>
      <c r="E18" s="21" t="s">
        <v>79</v>
      </c>
      <c r="F18" s="21">
        <v>0.747</v>
      </c>
      <c r="G18" s="22">
        <v>0.66500000000000004</v>
      </c>
      <c r="H18" s="59" t="s">
        <v>255</v>
      </c>
      <c r="I18" s="62">
        <f>SUM(G18:G20)</f>
        <v>1.635</v>
      </c>
      <c r="J18" s="28" t="s">
        <v>256</v>
      </c>
      <c r="M18" s="10"/>
      <c r="N18" s="11"/>
    </row>
    <row r="19" spans="1:14" x14ac:dyDescent="0.25">
      <c r="A19" s="43"/>
      <c r="B19" s="44"/>
      <c r="C19" s="51"/>
      <c r="D19" s="23" t="s">
        <v>80</v>
      </c>
      <c r="E19" s="1" t="s">
        <v>79</v>
      </c>
      <c r="F19" s="1">
        <v>0.42</v>
      </c>
      <c r="G19" s="16">
        <v>0.34300000000000003</v>
      </c>
      <c r="H19" s="60"/>
      <c r="I19" s="60"/>
      <c r="J19" s="29" t="s">
        <v>257</v>
      </c>
      <c r="M19" s="10"/>
      <c r="N19" s="11"/>
    </row>
    <row r="20" spans="1:14" ht="15.75" thickBot="1" x14ac:dyDescent="0.3">
      <c r="A20" s="43"/>
      <c r="B20" s="44"/>
      <c r="C20" s="51"/>
      <c r="D20" s="24" t="s">
        <v>81</v>
      </c>
      <c r="E20" s="25" t="s">
        <v>79</v>
      </c>
      <c r="F20" s="25">
        <v>0.77600000000000002</v>
      </c>
      <c r="G20" s="26">
        <v>0.627</v>
      </c>
      <c r="H20" s="61"/>
      <c r="I20" s="61"/>
      <c r="J20" s="27">
        <f>35*0.105</f>
        <v>3.6749999999999998</v>
      </c>
    </row>
    <row r="21" spans="1:14" x14ac:dyDescent="0.25">
      <c r="A21" s="43"/>
      <c r="B21" s="44"/>
      <c r="C21" s="46"/>
      <c r="D21" s="19" t="s">
        <v>82</v>
      </c>
      <c r="E21" s="19" t="s">
        <v>3</v>
      </c>
      <c r="F21" s="19">
        <v>3.4</v>
      </c>
      <c r="G21" s="16">
        <v>3.6</v>
      </c>
    </row>
    <row r="22" spans="1:14" ht="15" customHeight="1" x14ac:dyDescent="0.25">
      <c r="A22" s="43"/>
      <c r="B22" s="44"/>
      <c r="C22" s="46"/>
      <c r="D22" s="1" t="s">
        <v>84</v>
      </c>
      <c r="E22" s="1" t="s">
        <v>4</v>
      </c>
      <c r="F22" s="1">
        <v>0.88500000000000001</v>
      </c>
      <c r="G22" s="16">
        <v>0.29499999999999998</v>
      </c>
      <c r="H22" t="s">
        <v>253</v>
      </c>
      <c r="I22">
        <v>0.88500000000000001</v>
      </c>
    </row>
    <row r="23" spans="1:14" x14ac:dyDescent="0.25">
      <c r="A23" s="43"/>
      <c r="B23" s="44"/>
      <c r="C23" s="46"/>
      <c r="D23" s="1" t="s">
        <v>85</v>
      </c>
      <c r="E23" s="1" t="s">
        <v>3</v>
      </c>
      <c r="F23" s="1">
        <v>2.2999999999999998</v>
      </c>
    </row>
    <row r="24" spans="1:14" x14ac:dyDescent="0.25">
      <c r="A24" s="43"/>
      <c r="B24" s="44"/>
      <c r="C24" s="46"/>
      <c r="D24" s="1" t="s">
        <v>86</v>
      </c>
      <c r="E24" s="1" t="s">
        <v>16</v>
      </c>
      <c r="F24" s="1">
        <v>0.3</v>
      </c>
    </row>
    <row r="25" spans="1:14" x14ac:dyDescent="0.25">
      <c r="A25" s="43"/>
      <c r="B25" s="44"/>
      <c r="C25" s="46"/>
      <c r="D25" s="1" t="s">
        <v>87</v>
      </c>
      <c r="E25" s="1" t="s">
        <v>5</v>
      </c>
      <c r="F25" s="1">
        <v>0.96</v>
      </c>
      <c r="G25" s="16">
        <v>0.61599999999999999</v>
      </c>
    </row>
    <row r="26" spans="1:14" x14ac:dyDescent="0.25">
      <c r="A26" s="43"/>
      <c r="B26" s="44"/>
      <c r="C26" s="46"/>
      <c r="D26" s="1" t="s">
        <v>88</v>
      </c>
      <c r="E26" s="1" t="s">
        <v>15</v>
      </c>
      <c r="F26" s="1">
        <v>0.21</v>
      </c>
    </row>
    <row r="27" spans="1:14" x14ac:dyDescent="0.25">
      <c r="A27" s="43"/>
      <c r="B27" s="44"/>
      <c r="C27" s="47"/>
      <c r="D27" s="1" t="s">
        <v>89</v>
      </c>
      <c r="E27" s="1" t="s">
        <v>15</v>
      </c>
      <c r="F27" s="1">
        <v>0.12</v>
      </c>
    </row>
    <row r="28" spans="1:14" x14ac:dyDescent="0.25">
      <c r="A28" s="43"/>
      <c r="B28" s="44"/>
      <c r="C28" s="52"/>
      <c r="D28" s="53"/>
      <c r="E28" s="54"/>
      <c r="F28" s="5">
        <f>SUM(F10:F27)</f>
        <v>17.412000000000003</v>
      </c>
    </row>
    <row r="29" spans="1:14" x14ac:dyDescent="0.25">
      <c r="A29" s="43"/>
      <c r="B29" s="44"/>
      <c r="C29" s="63" t="s">
        <v>99</v>
      </c>
      <c r="D29" s="1" t="s">
        <v>94</v>
      </c>
      <c r="E29" s="1" t="s">
        <v>23</v>
      </c>
      <c r="F29" s="1">
        <v>3.27</v>
      </c>
      <c r="G29" s="16">
        <v>2</v>
      </c>
    </row>
    <row r="30" spans="1:14" x14ac:dyDescent="0.25">
      <c r="A30" s="43"/>
      <c r="B30" s="44"/>
      <c r="C30" s="64"/>
      <c r="D30" s="1" t="s">
        <v>95</v>
      </c>
      <c r="E30" s="1" t="s">
        <v>15</v>
      </c>
      <c r="F30" s="1">
        <v>0.08</v>
      </c>
    </row>
    <row r="31" spans="1:14" ht="15" customHeight="1" x14ac:dyDescent="0.25">
      <c r="A31" s="43"/>
      <c r="B31" s="44"/>
      <c r="C31" s="64"/>
      <c r="D31" s="1" t="s">
        <v>96</v>
      </c>
      <c r="E31" s="1" t="s">
        <v>15</v>
      </c>
      <c r="F31" s="1">
        <v>7.4999999999999997E-2</v>
      </c>
    </row>
    <row r="32" spans="1:14" x14ac:dyDescent="0.25">
      <c r="A32" s="43"/>
      <c r="B32" s="44"/>
      <c r="C32" s="64"/>
      <c r="D32" s="1" t="s">
        <v>27</v>
      </c>
      <c r="E32" s="1" t="s">
        <v>15</v>
      </c>
      <c r="F32" s="1">
        <v>0.05</v>
      </c>
      <c r="G32" s="16">
        <v>3.9E-2</v>
      </c>
    </row>
    <row r="33" spans="1:7" x14ac:dyDescent="0.25">
      <c r="A33" s="43"/>
      <c r="B33" s="44"/>
      <c r="C33" s="64"/>
      <c r="D33" s="1" t="s">
        <v>97</v>
      </c>
      <c r="E33" s="1" t="s">
        <v>17</v>
      </c>
      <c r="F33" s="1">
        <v>0.18</v>
      </c>
      <c r="G33" s="16">
        <v>0.21</v>
      </c>
    </row>
    <row r="34" spans="1:7" x14ac:dyDescent="0.25">
      <c r="A34" s="43"/>
      <c r="B34" s="44"/>
      <c r="C34" s="64"/>
      <c r="D34" s="1" t="s">
        <v>91</v>
      </c>
      <c r="E34" s="1" t="s">
        <v>16</v>
      </c>
      <c r="F34" s="1">
        <v>0.21</v>
      </c>
      <c r="G34" s="16">
        <v>0.23</v>
      </c>
    </row>
    <row r="35" spans="1:7" x14ac:dyDescent="0.25">
      <c r="A35" s="43"/>
      <c r="B35" s="44"/>
      <c r="C35" s="65"/>
      <c r="D35" s="1" t="s">
        <v>98</v>
      </c>
      <c r="E35" s="1" t="s">
        <v>6</v>
      </c>
      <c r="F35" s="1">
        <v>0.105</v>
      </c>
      <c r="G35" s="16">
        <v>0.215</v>
      </c>
    </row>
    <row r="36" spans="1:7" x14ac:dyDescent="0.25">
      <c r="A36" s="43"/>
      <c r="B36" s="48"/>
      <c r="C36" s="49"/>
      <c r="D36" s="49"/>
      <c r="E36" s="50"/>
      <c r="F36" s="5">
        <f>SUM(F29:F35)</f>
        <v>3.97</v>
      </c>
    </row>
    <row r="37" spans="1:7" x14ac:dyDescent="0.25">
      <c r="A37" s="43"/>
      <c r="B37" s="13"/>
      <c r="C37" s="1"/>
      <c r="D37" s="1" t="s">
        <v>212</v>
      </c>
      <c r="E37" s="1" t="s">
        <v>9</v>
      </c>
      <c r="F37" s="1">
        <v>3.0640000000000001</v>
      </c>
    </row>
    <row r="38" spans="1:7" ht="15" customHeight="1" x14ac:dyDescent="0.25">
      <c r="A38" s="43"/>
      <c r="B38" s="38" t="s">
        <v>251</v>
      </c>
      <c r="C38" s="39" t="s">
        <v>67</v>
      </c>
      <c r="D38" s="1" t="s">
        <v>100</v>
      </c>
      <c r="E38" s="1" t="s">
        <v>102</v>
      </c>
      <c r="F38" s="1">
        <v>1.32</v>
      </c>
    </row>
    <row r="39" spans="1:7" x14ac:dyDescent="0.25">
      <c r="A39" s="43"/>
      <c r="B39" s="38"/>
      <c r="C39" s="40"/>
      <c r="D39" s="1" t="s">
        <v>103</v>
      </c>
      <c r="E39" s="1" t="s">
        <v>104</v>
      </c>
      <c r="F39" s="1">
        <v>0.5</v>
      </c>
    </row>
    <row r="40" spans="1:7" x14ac:dyDescent="0.25">
      <c r="A40" s="43"/>
      <c r="B40" s="38"/>
      <c r="C40" s="40"/>
      <c r="D40" s="1" t="s">
        <v>105</v>
      </c>
      <c r="E40" s="1" t="s">
        <v>19</v>
      </c>
      <c r="F40" s="1">
        <v>1.4159999999999999</v>
      </c>
    </row>
    <row r="41" spans="1:7" x14ac:dyDescent="0.25">
      <c r="A41" s="43"/>
      <c r="B41" s="38"/>
      <c r="C41" s="40"/>
      <c r="D41" s="1" t="s">
        <v>106</v>
      </c>
      <c r="E41" s="1" t="s">
        <v>69</v>
      </c>
      <c r="F41" s="1">
        <v>2.1349999999999998</v>
      </c>
      <c r="G41" s="16">
        <f>F41/3</f>
        <v>0.71166666666666656</v>
      </c>
    </row>
    <row r="42" spans="1:7" x14ac:dyDescent="0.25">
      <c r="A42" s="43"/>
      <c r="B42" s="38"/>
      <c r="C42" s="40"/>
      <c r="D42" s="1" t="s">
        <v>107</v>
      </c>
      <c r="E42" s="1" t="s">
        <v>3</v>
      </c>
      <c r="F42" s="1">
        <v>0.95</v>
      </c>
    </row>
    <row r="43" spans="1:7" x14ac:dyDescent="0.25">
      <c r="A43" s="43"/>
      <c r="B43" s="38"/>
      <c r="C43" s="40"/>
      <c r="D43" s="1" t="s">
        <v>13</v>
      </c>
      <c r="E43" s="1" t="s">
        <v>4</v>
      </c>
      <c r="F43" s="1">
        <v>1.2</v>
      </c>
      <c r="G43" s="16">
        <v>1.2</v>
      </c>
    </row>
    <row r="44" spans="1:7" x14ac:dyDescent="0.25">
      <c r="A44" s="43"/>
      <c r="B44" s="38"/>
      <c r="C44" s="40"/>
      <c r="D44" s="1" t="s">
        <v>108</v>
      </c>
      <c r="E44" s="1" t="s">
        <v>104</v>
      </c>
      <c r="F44" s="1">
        <v>1.2</v>
      </c>
      <c r="G44" s="16">
        <v>1</v>
      </c>
    </row>
    <row r="45" spans="1:7" x14ac:dyDescent="0.25">
      <c r="A45" s="43"/>
      <c r="B45" s="38"/>
      <c r="C45" s="40"/>
      <c r="D45" s="1" t="s">
        <v>109</v>
      </c>
      <c r="E45" s="1" t="s">
        <v>17</v>
      </c>
      <c r="F45" s="1">
        <v>0.23200000000000001</v>
      </c>
    </row>
    <row r="46" spans="1:7" x14ac:dyDescent="0.25">
      <c r="A46" s="43"/>
      <c r="B46" s="38"/>
      <c r="C46" s="40"/>
      <c r="D46" s="1" t="s">
        <v>110</v>
      </c>
      <c r="E46" s="1" t="s">
        <v>21</v>
      </c>
      <c r="F46" s="1">
        <v>1.62</v>
      </c>
    </row>
    <row r="47" spans="1:7" x14ac:dyDescent="0.25">
      <c r="A47" s="43"/>
      <c r="B47" s="38"/>
      <c r="C47" s="40"/>
      <c r="D47" s="1" t="s">
        <v>111</v>
      </c>
      <c r="E47" s="1" t="s">
        <v>17</v>
      </c>
      <c r="F47" s="1">
        <v>0.72</v>
      </c>
    </row>
    <row r="48" spans="1:7" x14ac:dyDescent="0.25">
      <c r="A48" s="43"/>
      <c r="B48" s="38"/>
      <c r="C48" s="40"/>
      <c r="D48" s="1" t="s">
        <v>112</v>
      </c>
      <c r="E48" s="1" t="s">
        <v>8</v>
      </c>
      <c r="F48" s="1">
        <v>2.85</v>
      </c>
    </row>
    <row r="49" spans="1:7" x14ac:dyDescent="0.25">
      <c r="A49" s="43"/>
      <c r="B49" s="38"/>
      <c r="C49" s="40"/>
      <c r="D49" s="1" t="s">
        <v>113</v>
      </c>
      <c r="E49" s="1" t="s">
        <v>115</v>
      </c>
      <c r="F49" s="1">
        <v>7.94</v>
      </c>
    </row>
    <row r="50" spans="1:7" x14ac:dyDescent="0.25">
      <c r="A50" s="43"/>
      <c r="B50" s="38"/>
      <c r="C50" s="40"/>
      <c r="D50" s="1" t="s">
        <v>114</v>
      </c>
      <c r="E50" s="1" t="s">
        <v>5</v>
      </c>
      <c r="F50" s="1">
        <v>0.66600000000000004</v>
      </c>
    </row>
    <row r="51" spans="1:7" x14ac:dyDescent="0.25">
      <c r="A51" s="43"/>
      <c r="B51" s="38"/>
      <c r="C51" s="40"/>
      <c r="D51" s="1" t="s">
        <v>116</v>
      </c>
      <c r="E51" s="1" t="s">
        <v>4</v>
      </c>
      <c r="F51" s="1">
        <v>2.5499999999999998</v>
      </c>
    </row>
    <row r="52" spans="1:7" x14ac:dyDescent="0.25">
      <c r="A52" s="43"/>
      <c r="B52" s="38"/>
      <c r="C52" s="40"/>
      <c r="D52" s="1" t="s">
        <v>117</v>
      </c>
      <c r="E52" s="1" t="s">
        <v>4</v>
      </c>
      <c r="F52" s="1">
        <v>1.56</v>
      </c>
    </row>
    <row r="53" spans="1:7" x14ac:dyDescent="0.25">
      <c r="A53" s="43"/>
      <c r="B53" s="38"/>
      <c r="C53" s="40"/>
      <c r="D53" s="1" t="s">
        <v>118</v>
      </c>
      <c r="E53" s="1" t="s">
        <v>15</v>
      </c>
      <c r="F53" s="1">
        <v>0.18</v>
      </c>
    </row>
    <row r="54" spans="1:7" x14ac:dyDescent="0.25">
      <c r="A54" s="43"/>
      <c r="B54" s="38"/>
      <c r="C54" s="40"/>
      <c r="D54" s="1" t="s">
        <v>219</v>
      </c>
      <c r="E54" s="1" t="s">
        <v>9</v>
      </c>
      <c r="F54" s="1">
        <v>1.75</v>
      </c>
    </row>
    <row r="55" spans="1:7" x14ac:dyDescent="0.25">
      <c r="A55" s="43"/>
      <c r="B55" s="38"/>
      <c r="C55" s="40"/>
      <c r="D55" s="1" t="s">
        <v>220</v>
      </c>
      <c r="E55" s="1" t="s">
        <v>9</v>
      </c>
      <c r="F55" s="1">
        <v>1.95</v>
      </c>
    </row>
    <row r="56" spans="1:7" x14ac:dyDescent="0.25">
      <c r="A56" s="43"/>
      <c r="B56" s="38"/>
      <c r="C56" s="40"/>
      <c r="D56" s="1" t="s">
        <v>227</v>
      </c>
      <c r="E56" s="1" t="s">
        <v>9</v>
      </c>
      <c r="F56" s="1">
        <v>0.8</v>
      </c>
    </row>
    <row r="57" spans="1:7" x14ac:dyDescent="0.25">
      <c r="A57" s="43"/>
      <c r="B57" s="38"/>
      <c r="C57" s="40"/>
      <c r="D57" s="1" t="s">
        <v>221</v>
      </c>
      <c r="E57" s="1" t="s">
        <v>9</v>
      </c>
      <c r="F57" s="1">
        <v>1.75</v>
      </c>
    </row>
    <row r="58" spans="1:7" x14ac:dyDescent="0.25">
      <c r="A58" s="43"/>
      <c r="B58" s="38"/>
      <c r="C58" s="40"/>
      <c r="D58" s="1" t="s">
        <v>108</v>
      </c>
      <c r="E58" s="1" t="s">
        <v>9</v>
      </c>
      <c r="F58" s="1">
        <v>1</v>
      </c>
      <c r="G58" s="16">
        <v>1</v>
      </c>
    </row>
    <row r="59" spans="1:7" x14ac:dyDescent="0.25">
      <c r="A59" s="43"/>
      <c r="B59" s="38"/>
      <c r="C59" s="40"/>
      <c r="D59" s="1" t="s">
        <v>107</v>
      </c>
      <c r="E59" s="1" t="s">
        <v>3</v>
      </c>
      <c r="F59" s="1">
        <v>1</v>
      </c>
    </row>
    <row r="60" spans="1:7" x14ac:dyDescent="0.25">
      <c r="A60" s="43"/>
      <c r="B60" s="38"/>
      <c r="C60" s="40"/>
      <c r="D60" s="1" t="s">
        <v>203</v>
      </c>
      <c r="E60" s="1" t="s">
        <v>62</v>
      </c>
      <c r="F60" s="1">
        <v>0.87</v>
      </c>
    </row>
    <row r="61" spans="1:7" x14ac:dyDescent="0.25">
      <c r="A61" s="43"/>
      <c r="B61" s="38"/>
      <c r="C61" s="40"/>
      <c r="D61" s="1" t="s">
        <v>226</v>
      </c>
      <c r="E61" s="1" t="s">
        <v>104</v>
      </c>
      <c r="F61" s="1">
        <v>0.48</v>
      </c>
    </row>
    <row r="62" spans="1:7" x14ac:dyDescent="0.25">
      <c r="A62" s="43"/>
      <c r="B62" s="38"/>
      <c r="C62" s="41"/>
      <c r="D62" s="1" t="s">
        <v>119</v>
      </c>
      <c r="E62" s="1" t="s">
        <v>4</v>
      </c>
      <c r="F62" s="1">
        <v>3</v>
      </c>
      <c r="G62" s="16">
        <v>3</v>
      </c>
    </row>
    <row r="63" spans="1:7" ht="15" customHeight="1" x14ac:dyDescent="0.25">
      <c r="A63" s="43"/>
      <c r="B63" s="52"/>
      <c r="C63" s="53"/>
      <c r="D63" s="53"/>
      <c r="E63" s="54"/>
      <c r="F63" s="5">
        <f>SUM(F37:F62)</f>
        <v>42.702999999999989</v>
      </c>
    </row>
    <row r="64" spans="1:7" ht="14.25" customHeight="1" x14ac:dyDescent="0.25">
      <c r="A64" s="43"/>
      <c r="B64" s="55"/>
      <c r="C64" s="56" t="s">
        <v>127</v>
      </c>
      <c r="D64" s="1" t="s">
        <v>0</v>
      </c>
      <c r="E64" s="1" t="s">
        <v>126</v>
      </c>
      <c r="F64" s="1" t="s">
        <v>2</v>
      </c>
    </row>
    <row r="65" spans="1:6" x14ac:dyDescent="0.25">
      <c r="A65" s="43"/>
      <c r="B65" s="55"/>
      <c r="C65" s="57"/>
      <c r="D65" s="1" t="s">
        <v>122</v>
      </c>
      <c r="E65" s="1" t="s">
        <v>69</v>
      </c>
      <c r="F65" s="1">
        <v>1.512</v>
      </c>
    </row>
    <row r="66" spans="1:6" x14ac:dyDescent="0.25">
      <c r="A66" s="43"/>
      <c r="B66" s="55"/>
      <c r="C66" s="57"/>
      <c r="D66" s="1" t="s">
        <v>123</v>
      </c>
      <c r="E66" s="1" t="s">
        <v>69</v>
      </c>
      <c r="F66" s="1">
        <v>3</v>
      </c>
    </row>
    <row r="67" spans="1:6" x14ac:dyDescent="0.25">
      <c r="A67" s="43"/>
      <c r="B67" s="55"/>
      <c r="C67" s="57"/>
      <c r="D67" s="1" t="s">
        <v>124</v>
      </c>
      <c r="E67" s="1" t="s">
        <v>69</v>
      </c>
      <c r="F67" s="1">
        <v>9.9149999999999991</v>
      </c>
    </row>
    <row r="68" spans="1:6" x14ac:dyDescent="0.25">
      <c r="A68" s="43"/>
      <c r="B68" s="55"/>
      <c r="C68" s="58"/>
      <c r="D68" s="1" t="s">
        <v>125</v>
      </c>
      <c r="E68" s="1" t="s">
        <v>23</v>
      </c>
      <c r="F68" s="37">
        <v>1.95</v>
      </c>
    </row>
    <row r="69" spans="1:6" x14ac:dyDescent="0.25">
      <c r="A69" s="43"/>
      <c r="B69" s="55"/>
      <c r="C69" s="52"/>
      <c r="D69" s="53"/>
      <c r="E69" s="54"/>
      <c r="F69" s="5">
        <f>SUM(F64:F68)</f>
        <v>16.376999999999999</v>
      </c>
    </row>
    <row r="70" spans="1:6" x14ac:dyDescent="0.25">
      <c r="A70" s="66" t="s">
        <v>29</v>
      </c>
      <c r="B70" s="66"/>
      <c r="C70" s="66"/>
      <c r="D70" s="66"/>
      <c r="E70" s="67">
        <f>F9+F28+F36+F63+F69</f>
        <v>89.080999999999989</v>
      </c>
      <c r="F70" s="67"/>
    </row>
    <row r="71" spans="1:6" x14ac:dyDescent="0.25">
      <c r="A71" s="66"/>
      <c r="B71" s="66"/>
      <c r="C71" s="66"/>
      <c r="D71" s="66"/>
      <c r="E71" s="67"/>
      <c r="F71" s="67"/>
    </row>
    <row r="73" spans="1:6" x14ac:dyDescent="0.25">
      <c r="A73" s="68" t="s">
        <v>130</v>
      </c>
      <c r="B73" s="69" t="s">
        <v>127</v>
      </c>
      <c r="C73" s="1" t="s">
        <v>0</v>
      </c>
      <c r="D73" s="1" t="s">
        <v>126</v>
      </c>
      <c r="E73" s="1" t="s">
        <v>2</v>
      </c>
    </row>
    <row r="74" spans="1:6" x14ac:dyDescent="0.25">
      <c r="A74" s="68"/>
      <c r="B74" s="69"/>
      <c r="C74" s="1" t="s">
        <v>122</v>
      </c>
      <c r="D74" s="1" t="s">
        <v>9</v>
      </c>
      <c r="E74" s="1">
        <v>0.5</v>
      </c>
    </row>
    <row r="75" spans="1:6" x14ac:dyDescent="0.25">
      <c r="A75" s="68"/>
      <c r="B75" s="69"/>
      <c r="C75" s="1" t="s">
        <v>123</v>
      </c>
      <c r="D75" s="1" t="s">
        <v>9</v>
      </c>
      <c r="E75" s="1">
        <v>1</v>
      </c>
    </row>
    <row r="76" spans="1:6" x14ac:dyDescent="0.25">
      <c r="A76" s="68"/>
      <c r="B76" s="69"/>
      <c r="C76" s="1" t="s">
        <v>124</v>
      </c>
      <c r="D76" s="1" t="s">
        <v>9</v>
      </c>
      <c r="E76" s="1">
        <v>3.3050000000000002</v>
      </c>
    </row>
    <row r="77" spans="1:6" x14ac:dyDescent="0.25">
      <c r="A77" s="68"/>
      <c r="B77" s="69"/>
      <c r="C77" s="1" t="s">
        <v>129</v>
      </c>
      <c r="D77" s="1" t="s">
        <v>9</v>
      </c>
      <c r="E77" s="1">
        <v>0.5</v>
      </c>
    </row>
    <row r="78" spans="1:6" ht="15" customHeight="1" x14ac:dyDescent="0.25">
      <c r="A78" s="68"/>
      <c r="B78" s="52" t="s">
        <v>25</v>
      </c>
      <c r="C78" s="53"/>
      <c r="D78" s="54"/>
      <c r="E78" s="5">
        <f>SUM(E74:E77)</f>
        <v>5.3049999999999997</v>
      </c>
    </row>
    <row r="79" spans="1:6" x14ac:dyDescent="0.25">
      <c r="A79" s="68"/>
      <c r="B79" s="70" t="s">
        <v>120</v>
      </c>
      <c r="C79" s="1" t="s">
        <v>30</v>
      </c>
      <c r="D79" s="1" t="s">
        <v>58</v>
      </c>
      <c r="E79" s="1">
        <v>1.62</v>
      </c>
    </row>
    <row r="80" spans="1:6" x14ac:dyDescent="0.25">
      <c r="A80" s="68"/>
      <c r="B80" s="70"/>
      <c r="C80" s="1" t="s">
        <v>171</v>
      </c>
      <c r="D80" s="1" t="s">
        <v>9</v>
      </c>
      <c r="E80" s="1">
        <v>6.915</v>
      </c>
    </row>
    <row r="81" spans="1:5" x14ac:dyDescent="0.25">
      <c r="A81" s="68"/>
      <c r="B81" s="70"/>
      <c r="C81" s="1" t="s">
        <v>234</v>
      </c>
      <c r="D81" s="1" t="s">
        <v>9</v>
      </c>
      <c r="E81" s="1">
        <v>9.8000000000000007</v>
      </c>
    </row>
    <row r="82" spans="1:5" x14ac:dyDescent="0.25">
      <c r="A82" s="68"/>
      <c r="B82" s="70"/>
      <c r="C82" s="1" t="s">
        <v>128</v>
      </c>
      <c r="D82" s="1" t="s">
        <v>104</v>
      </c>
      <c r="E82" s="1">
        <v>2.06</v>
      </c>
    </row>
    <row r="83" spans="1:5" x14ac:dyDescent="0.25">
      <c r="A83" s="71" t="s">
        <v>25</v>
      </c>
      <c r="B83" s="71"/>
      <c r="C83" s="71"/>
      <c r="D83" s="71"/>
      <c r="E83" s="5">
        <f>SUM(E79:E82)</f>
        <v>20.395</v>
      </c>
    </row>
    <row r="84" spans="1:5" x14ac:dyDescent="0.25">
      <c r="A84" s="72"/>
      <c r="B84" s="72"/>
      <c r="C84" s="72"/>
      <c r="D84" s="72"/>
      <c r="E84" s="5">
        <f>E78+E83</f>
        <v>25.7</v>
      </c>
    </row>
    <row r="86" spans="1:5" ht="15" customHeight="1" x14ac:dyDescent="0.25"/>
    <row r="89" spans="1:5" x14ac:dyDescent="0.25">
      <c r="A89" s="68" t="s">
        <v>140</v>
      </c>
      <c r="B89" s="69" t="s">
        <v>127</v>
      </c>
      <c r="C89" s="1" t="s">
        <v>0</v>
      </c>
      <c r="D89" s="1" t="s">
        <v>126</v>
      </c>
      <c r="E89" s="1" t="s">
        <v>2</v>
      </c>
    </row>
    <row r="90" spans="1:5" x14ac:dyDescent="0.25">
      <c r="A90" s="68"/>
      <c r="B90" s="69"/>
      <c r="C90" s="1" t="s">
        <v>122</v>
      </c>
      <c r="D90" s="1" t="s">
        <v>23</v>
      </c>
      <c r="E90" s="1">
        <v>0.5</v>
      </c>
    </row>
    <row r="91" spans="1:5" x14ac:dyDescent="0.25">
      <c r="A91" s="68"/>
      <c r="B91" s="69"/>
      <c r="C91" s="1" t="s">
        <v>123</v>
      </c>
      <c r="D91" s="1" t="s">
        <v>23</v>
      </c>
      <c r="E91" s="1">
        <v>1</v>
      </c>
    </row>
    <row r="92" spans="1:5" x14ac:dyDescent="0.25">
      <c r="A92" s="68"/>
      <c r="B92" s="69"/>
      <c r="C92" s="1" t="s">
        <v>129</v>
      </c>
      <c r="D92" s="1" t="s">
        <v>23</v>
      </c>
      <c r="E92" s="1">
        <v>0.5</v>
      </c>
    </row>
    <row r="93" spans="1:5" x14ac:dyDescent="0.25">
      <c r="A93" s="68"/>
      <c r="B93" s="52" t="s">
        <v>25</v>
      </c>
      <c r="C93" s="53"/>
      <c r="D93" s="54"/>
      <c r="E93" s="5">
        <f>SUM(E90:E92)</f>
        <v>2</v>
      </c>
    </row>
    <row r="94" spans="1:5" x14ac:dyDescent="0.25">
      <c r="A94" s="68"/>
      <c r="B94" s="1"/>
      <c r="C94" s="1"/>
      <c r="D94" s="1"/>
      <c r="E94" s="1"/>
    </row>
    <row r="95" spans="1:5" x14ac:dyDescent="0.25">
      <c r="A95" s="68"/>
      <c r="B95" s="56" t="s">
        <v>136</v>
      </c>
      <c r="C95" s="1" t="s">
        <v>131</v>
      </c>
      <c r="D95" s="1" t="s">
        <v>7</v>
      </c>
      <c r="E95" s="1">
        <v>2.4750000000000001</v>
      </c>
    </row>
    <row r="96" spans="1:5" x14ac:dyDescent="0.25">
      <c r="A96" s="68"/>
      <c r="B96" s="57"/>
      <c r="C96" s="1" t="s">
        <v>132</v>
      </c>
      <c r="D96" s="1" t="s">
        <v>17</v>
      </c>
      <c r="E96" s="1">
        <v>1</v>
      </c>
    </row>
    <row r="97" spans="1:6" ht="15" customHeight="1" x14ac:dyDescent="0.25">
      <c r="A97" s="68"/>
      <c r="B97" s="57"/>
      <c r="C97" s="1" t="s">
        <v>10</v>
      </c>
      <c r="D97" s="1" t="s">
        <v>9</v>
      </c>
      <c r="E97" s="1">
        <v>0.3</v>
      </c>
    </row>
    <row r="98" spans="1:6" x14ac:dyDescent="0.25">
      <c r="A98" s="68"/>
      <c r="B98" s="57"/>
      <c r="C98" s="1" t="s">
        <v>95</v>
      </c>
      <c r="D98" s="1" t="s">
        <v>83</v>
      </c>
      <c r="E98" s="1">
        <v>0.63800000000000001</v>
      </c>
    </row>
    <row r="99" spans="1:6" x14ac:dyDescent="0.25">
      <c r="A99" s="68"/>
      <c r="B99" s="57"/>
      <c r="C99" s="1" t="s">
        <v>96</v>
      </c>
      <c r="D99" s="1" t="s">
        <v>6</v>
      </c>
      <c r="E99" s="1">
        <v>0.3</v>
      </c>
    </row>
    <row r="100" spans="1:6" x14ac:dyDescent="0.25">
      <c r="A100" s="68"/>
      <c r="B100" s="57"/>
      <c r="C100" s="1" t="s">
        <v>133</v>
      </c>
      <c r="D100" s="1" t="s">
        <v>9</v>
      </c>
      <c r="E100" s="1">
        <v>0.8</v>
      </c>
    </row>
    <row r="101" spans="1:6" x14ac:dyDescent="0.25">
      <c r="A101" s="68"/>
      <c r="B101" s="57"/>
      <c r="C101" s="1" t="s">
        <v>146</v>
      </c>
      <c r="D101" s="1" t="s">
        <v>9</v>
      </c>
      <c r="E101" s="1">
        <v>0.83299999999999996</v>
      </c>
    </row>
    <row r="102" spans="1:6" x14ac:dyDescent="0.25">
      <c r="A102" s="68"/>
      <c r="B102" s="58"/>
      <c r="C102" s="1" t="s">
        <v>134</v>
      </c>
      <c r="D102" s="1" t="s">
        <v>137</v>
      </c>
      <c r="E102" s="1">
        <v>0.25</v>
      </c>
    </row>
    <row r="103" spans="1:6" x14ac:dyDescent="0.25">
      <c r="A103" s="68"/>
      <c r="B103" s="52" t="s">
        <v>25</v>
      </c>
      <c r="C103" s="53"/>
      <c r="D103" s="54"/>
      <c r="E103" s="5">
        <f>SUM(E95:E102)</f>
        <v>6.5960000000000001</v>
      </c>
    </row>
    <row r="104" spans="1:6" x14ac:dyDescent="0.25">
      <c r="A104" s="68"/>
      <c r="B104" s="69" t="s">
        <v>120</v>
      </c>
      <c r="C104" s="1" t="s">
        <v>135</v>
      </c>
      <c r="D104" s="1" t="s">
        <v>104</v>
      </c>
      <c r="E104" s="1">
        <v>1.98</v>
      </c>
    </row>
    <row r="105" spans="1:6" x14ac:dyDescent="0.25">
      <c r="A105" s="68"/>
      <c r="B105" s="69"/>
      <c r="C105" s="1" t="s">
        <v>13</v>
      </c>
      <c r="D105" s="1" t="s">
        <v>6</v>
      </c>
      <c r="E105" s="1">
        <v>2</v>
      </c>
    </row>
    <row r="106" spans="1:6" x14ac:dyDescent="0.25">
      <c r="A106" s="68"/>
      <c r="B106" s="69"/>
      <c r="C106" s="1" t="s">
        <v>138</v>
      </c>
      <c r="D106" s="1" t="s">
        <v>17</v>
      </c>
      <c r="E106" s="1">
        <v>0.22</v>
      </c>
    </row>
    <row r="107" spans="1:6" x14ac:dyDescent="0.25">
      <c r="A107" s="68"/>
      <c r="B107" s="69"/>
      <c r="C107" s="1" t="s">
        <v>139</v>
      </c>
      <c r="D107" s="1" t="s">
        <v>17</v>
      </c>
      <c r="E107" s="1">
        <v>0.36</v>
      </c>
    </row>
    <row r="108" spans="1:6" x14ac:dyDescent="0.25">
      <c r="A108" s="71" t="s">
        <v>25</v>
      </c>
      <c r="B108" s="71"/>
      <c r="C108" s="71"/>
      <c r="D108" s="5"/>
      <c r="E108" s="5">
        <f>SUM(E104:E107)</f>
        <v>4.5600000000000005</v>
      </c>
    </row>
    <row r="109" spans="1:6" ht="15" customHeight="1" x14ac:dyDescent="0.25">
      <c r="A109" s="72" t="s">
        <v>29</v>
      </c>
      <c r="B109" s="72"/>
      <c r="C109" s="72"/>
      <c r="D109" s="72"/>
      <c r="E109" s="5">
        <f>E93+E103+E108</f>
        <v>13.156000000000001</v>
      </c>
    </row>
    <row r="110" spans="1:6" ht="15" customHeight="1" x14ac:dyDescent="0.25"/>
    <row r="111" spans="1:6" x14ac:dyDescent="0.25">
      <c r="A111" s="68" t="s">
        <v>154</v>
      </c>
      <c r="B111" s="56" t="s">
        <v>136</v>
      </c>
      <c r="C111" s="1" t="s">
        <v>147</v>
      </c>
      <c r="D111" s="1" t="s">
        <v>21</v>
      </c>
      <c r="E111" s="1" t="s">
        <v>2</v>
      </c>
    </row>
    <row r="112" spans="1:6" ht="15" customHeight="1" x14ac:dyDescent="0.25">
      <c r="A112" s="68"/>
      <c r="B112" s="57"/>
      <c r="C112" s="1" t="s">
        <v>148</v>
      </c>
      <c r="D112" s="1" t="s">
        <v>9</v>
      </c>
      <c r="E112" s="1">
        <v>0.3</v>
      </c>
      <c r="F112">
        <v>0.25</v>
      </c>
    </row>
    <row r="113" spans="1:5" x14ac:dyDescent="0.25">
      <c r="A113" s="68"/>
      <c r="B113" s="57"/>
      <c r="C113" s="1" t="s">
        <v>149</v>
      </c>
      <c r="D113" s="1" t="s">
        <v>6</v>
      </c>
      <c r="E113" s="1">
        <v>0.36</v>
      </c>
    </row>
    <row r="114" spans="1:5" x14ac:dyDescent="0.25">
      <c r="A114" s="68"/>
      <c r="B114" s="57"/>
      <c r="C114" s="1" t="s">
        <v>150</v>
      </c>
      <c r="D114" s="1" t="s">
        <v>151</v>
      </c>
      <c r="E114" s="1">
        <v>3.06</v>
      </c>
    </row>
    <row r="115" spans="1:5" x14ac:dyDescent="0.25">
      <c r="A115" s="68"/>
      <c r="B115" s="57"/>
      <c r="C115" s="1" t="s">
        <v>55</v>
      </c>
      <c r="D115" s="1" t="s">
        <v>7</v>
      </c>
      <c r="E115" s="1">
        <v>1</v>
      </c>
    </row>
    <row r="116" spans="1:5" x14ac:dyDescent="0.25">
      <c r="A116" s="68"/>
      <c r="B116" s="57"/>
      <c r="C116" s="1" t="s">
        <v>152</v>
      </c>
      <c r="D116" s="1" t="s">
        <v>7</v>
      </c>
      <c r="E116" s="1">
        <v>0.45</v>
      </c>
    </row>
    <row r="117" spans="1:5" x14ac:dyDescent="0.25">
      <c r="A117" s="68"/>
      <c r="B117" s="57"/>
      <c r="C117" s="30" t="s">
        <v>132</v>
      </c>
      <c r="D117" s="1" t="s">
        <v>17</v>
      </c>
      <c r="E117" s="1">
        <v>0.1</v>
      </c>
    </row>
    <row r="118" spans="1:5" x14ac:dyDescent="0.25">
      <c r="A118" s="68"/>
      <c r="B118" s="57"/>
      <c r="C118" s="1" t="s">
        <v>200</v>
      </c>
      <c r="D118" s="1" t="s">
        <v>9</v>
      </c>
      <c r="E118" s="1">
        <v>1</v>
      </c>
    </row>
    <row r="119" spans="1:5" x14ac:dyDescent="0.25">
      <c r="A119" s="68"/>
      <c r="B119" s="57"/>
      <c r="C119" s="1" t="s">
        <v>248</v>
      </c>
      <c r="D119" s="1" t="s">
        <v>3</v>
      </c>
      <c r="E119" s="1">
        <v>0.7</v>
      </c>
    </row>
    <row r="120" spans="1:5" x14ac:dyDescent="0.25">
      <c r="A120" s="68"/>
      <c r="B120" s="57"/>
      <c r="C120" s="1" t="s">
        <v>191</v>
      </c>
      <c r="D120" s="1" t="s">
        <v>12</v>
      </c>
      <c r="E120" s="1">
        <v>0.23</v>
      </c>
    </row>
    <row r="121" spans="1:5" ht="15" customHeight="1" x14ac:dyDescent="0.25">
      <c r="A121" s="68"/>
      <c r="B121" s="57"/>
      <c r="C121" s="1" t="s">
        <v>153</v>
      </c>
      <c r="D121" s="1" t="s">
        <v>9</v>
      </c>
      <c r="E121" s="1">
        <v>0.85799999999999998</v>
      </c>
    </row>
    <row r="122" spans="1:5" x14ac:dyDescent="0.25">
      <c r="A122" s="68"/>
      <c r="B122" s="52" t="s">
        <v>25</v>
      </c>
      <c r="C122" s="53"/>
      <c r="D122" s="54"/>
      <c r="E122" s="5">
        <f>SUM(E112:E121)</f>
        <v>8.0579999999999998</v>
      </c>
    </row>
    <row r="123" spans="1:5" x14ac:dyDescent="0.25">
      <c r="A123" s="68"/>
    </row>
    <row r="124" spans="1:5" x14ac:dyDescent="0.25">
      <c r="A124" s="68"/>
      <c r="B124" s="56" t="s">
        <v>127</v>
      </c>
      <c r="C124" s="1" t="s">
        <v>0</v>
      </c>
      <c r="D124" s="1" t="s">
        <v>126</v>
      </c>
      <c r="E124" s="1" t="s">
        <v>2</v>
      </c>
    </row>
    <row r="125" spans="1:5" ht="15" customHeight="1" x14ac:dyDescent="0.25">
      <c r="A125" s="68"/>
      <c r="B125" s="57"/>
      <c r="C125" s="1" t="s">
        <v>122</v>
      </c>
      <c r="D125" s="1" t="s">
        <v>23</v>
      </c>
      <c r="E125" s="1">
        <v>0.51</v>
      </c>
    </row>
    <row r="126" spans="1:5" x14ac:dyDescent="0.25">
      <c r="A126" s="68"/>
      <c r="B126" s="58"/>
      <c r="C126" s="1" t="s">
        <v>155</v>
      </c>
      <c r="D126" s="1" t="s">
        <v>23</v>
      </c>
      <c r="E126" s="1">
        <v>0.45500000000000002</v>
      </c>
    </row>
    <row r="127" spans="1:5" x14ac:dyDescent="0.25">
      <c r="A127" s="73"/>
      <c r="B127" s="74" t="s">
        <v>25</v>
      </c>
      <c r="C127" s="75"/>
      <c r="D127" s="76"/>
      <c r="E127" s="14">
        <f>SUM(E125:E126)</f>
        <v>0.96500000000000008</v>
      </c>
    </row>
    <row r="128" spans="1:5" x14ac:dyDescent="0.25">
      <c r="A128" s="77" t="s">
        <v>29</v>
      </c>
      <c r="B128" s="78"/>
      <c r="C128" s="78"/>
      <c r="D128" s="79"/>
      <c r="E128" s="5">
        <f>E122+E127</f>
        <v>9.0229999999999997</v>
      </c>
    </row>
    <row r="130" spans="1:5" x14ac:dyDescent="0.25">
      <c r="A130" s="80" t="s">
        <v>228</v>
      </c>
      <c r="B130" s="1" t="s">
        <v>0</v>
      </c>
      <c r="C130" s="1" t="s">
        <v>26</v>
      </c>
      <c r="D130" s="55" t="s">
        <v>2</v>
      </c>
      <c r="E130" s="55"/>
    </row>
    <row r="131" spans="1:5" x14ac:dyDescent="0.25">
      <c r="A131" s="80"/>
      <c r="B131" s="1" t="s">
        <v>229</v>
      </c>
      <c r="C131" s="1" t="s">
        <v>9</v>
      </c>
      <c r="D131" s="81">
        <v>0.5</v>
      </c>
      <c r="E131" s="81"/>
    </row>
    <row r="132" spans="1:5" x14ac:dyDescent="0.25">
      <c r="A132" s="80"/>
      <c r="B132" s="1" t="s">
        <v>230</v>
      </c>
      <c r="C132" s="1" t="s">
        <v>9</v>
      </c>
      <c r="D132" s="81">
        <v>1</v>
      </c>
      <c r="E132" s="81"/>
    </row>
    <row r="133" spans="1:5" x14ac:dyDescent="0.25">
      <c r="A133" s="80"/>
      <c r="B133" s="1" t="s">
        <v>231</v>
      </c>
      <c r="C133" s="1" t="s">
        <v>201</v>
      </c>
      <c r="D133" s="81">
        <v>0.5</v>
      </c>
      <c r="E133" s="81"/>
    </row>
    <row r="134" spans="1:5" x14ac:dyDescent="0.25">
      <c r="A134" s="80"/>
      <c r="B134" s="1" t="s">
        <v>232</v>
      </c>
      <c r="C134" s="1" t="s">
        <v>9</v>
      </c>
      <c r="D134" s="81">
        <v>1.75</v>
      </c>
      <c r="E134" s="81"/>
    </row>
    <row r="135" spans="1:5" x14ac:dyDescent="0.25">
      <c r="A135" s="80"/>
      <c r="B135" s="1"/>
      <c r="C135" s="1"/>
      <c r="D135" s="81"/>
      <c r="E135" s="81"/>
    </row>
    <row r="136" spans="1:5" x14ac:dyDescent="0.25">
      <c r="A136" s="71"/>
      <c r="B136" s="71"/>
      <c r="C136" s="71"/>
      <c r="D136" s="71">
        <f>SUM(D131:E134)</f>
        <v>3.75</v>
      </c>
      <c r="E136" s="71"/>
    </row>
    <row r="139" spans="1:5" x14ac:dyDescent="0.25">
      <c r="A139" s="68" t="s">
        <v>240</v>
      </c>
      <c r="B139" s="56" t="s">
        <v>136</v>
      </c>
      <c r="C139" s="30" t="s">
        <v>147</v>
      </c>
      <c r="D139" s="1" t="s">
        <v>21</v>
      </c>
      <c r="E139" s="1" t="s">
        <v>2</v>
      </c>
    </row>
    <row r="140" spans="1:5" x14ac:dyDescent="0.25">
      <c r="A140" s="68"/>
      <c r="B140" s="57"/>
      <c r="C140" s="1" t="s">
        <v>260</v>
      </c>
      <c r="D140" s="1" t="s">
        <v>9</v>
      </c>
      <c r="E140" s="1">
        <v>2.2599999999999998</v>
      </c>
    </row>
    <row r="141" spans="1:5" x14ac:dyDescent="0.25">
      <c r="A141" s="68"/>
      <c r="B141" s="57"/>
      <c r="C141" s="1" t="s">
        <v>149</v>
      </c>
      <c r="D141" s="1" t="s">
        <v>6</v>
      </c>
      <c r="E141" s="1">
        <v>0.36</v>
      </c>
    </row>
    <row r="142" spans="1:5" x14ac:dyDescent="0.25">
      <c r="A142" s="68"/>
      <c r="B142" s="57"/>
      <c r="C142" s="30" t="s">
        <v>150</v>
      </c>
      <c r="D142" s="1" t="s">
        <v>151</v>
      </c>
      <c r="E142" s="1">
        <v>3.06</v>
      </c>
    </row>
    <row r="143" spans="1:5" x14ac:dyDescent="0.25">
      <c r="A143" s="68"/>
      <c r="B143" s="57"/>
      <c r="C143" s="30" t="s">
        <v>55</v>
      </c>
      <c r="D143" s="1" t="s">
        <v>3</v>
      </c>
      <c r="E143" s="1">
        <v>0.64600000000000002</v>
      </c>
    </row>
    <row r="144" spans="1:5" x14ac:dyDescent="0.25">
      <c r="A144" s="68"/>
      <c r="B144" s="57"/>
      <c r="C144" s="1" t="s">
        <v>152</v>
      </c>
      <c r="D144" s="1" t="s">
        <v>7</v>
      </c>
      <c r="E144" s="1">
        <v>0.45</v>
      </c>
    </row>
    <row r="145" spans="1:7" x14ac:dyDescent="0.25">
      <c r="A145" s="68"/>
      <c r="B145" s="57"/>
      <c r="C145" s="30" t="s">
        <v>132</v>
      </c>
      <c r="D145" s="1" t="s">
        <v>17</v>
      </c>
      <c r="E145" s="1">
        <v>0.1</v>
      </c>
    </row>
    <row r="146" spans="1:7" x14ac:dyDescent="0.25">
      <c r="A146" s="68"/>
      <c r="B146" s="57"/>
      <c r="C146" s="1" t="s">
        <v>200</v>
      </c>
      <c r="D146" s="1" t="s">
        <v>9</v>
      </c>
      <c r="E146" s="1">
        <v>1</v>
      </c>
      <c r="F146" t="s">
        <v>259</v>
      </c>
      <c r="G146" s="16">
        <v>0.1</v>
      </c>
    </row>
    <row r="147" spans="1:7" x14ac:dyDescent="0.25">
      <c r="A147" s="68"/>
      <c r="B147" s="57"/>
      <c r="C147" s="1" t="s">
        <v>191</v>
      </c>
      <c r="D147" s="1" t="s">
        <v>12</v>
      </c>
      <c r="E147" s="1">
        <v>0.23</v>
      </c>
    </row>
    <row r="148" spans="1:7" x14ac:dyDescent="0.25">
      <c r="A148" s="68"/>
      <c r="B148" s="57"/>
      <c r="C148" s="1" t="s">
        <v>242</v>
      </c>
      <c r="D148" s="1" t="s">
        <v>9</v>
      </c>
      <c r="E148" s="1">
        <v>3</v>
      </c>
    </row>
    <row r="149" spans="1:7" x14ac:dyDescent="0.25">
      <c r="A149" s="68"/>
      <c r="B149" s="57"/>
      <c r="C149" s="1" t="s">
        <v>57</v>
      </c>
      <c r="D149" s="1" t="s">
        <v>9</v>
      </c>
      <c r="E149" s="1">
        <v>0.36</v>
      </c>
    </row>
    <row r="150" spans="1:7" x14ac:dyDescent="0.25">
      <c r="A150" s="68"/>
      <c r="B150" s="57"/>
      <c r="C150" s="1" t="s">
        <v>73</v>
      </c>
      <c r="D150" s="1" t="s">
        <v>9</v>
      </c>
      <c r="E150" s="1">
        <v>4.5780000000000003</v>
      </c>
    </row>
    <row r="151" spans="1:7" x14ac:dyDescent="0.25">
      <c r="A151" s="68"/>
      <c r="B151" s="57"/>
      <c r="C151" s="1" t="s">
        <v>249</v>
      </c>
      <c r="D151" s="15" t="s">
        <v>250</v>
      </c>
      <c r="E151" s="1">
        <v>0.25</v>
      </c>
    </row>
    <row r="152" spans="1:7" x14ac:dyDescent="0.25">
      <c r="A152" s="68"/>
      <c r="B152" s="57"/>
      <c r="C152" s="1" t="s">
        <v>133</v>
      </c>
      <c r="D152" s="1" t="s">
        <v>9</v>
      </c>
      <c r="E152" s="1">
        <v>0.8</v>
      </c>
    </row>
    <row r="153" spans="1:7" x14ac:dyDescent="0.25">
      <c r="A153" s="68"/>
      <c r="B153" s="57"/>
      <c r="C153" s="1" t="s">
        <v>153</v>
      </c>
      <c r="D153" s="1" t="s">
        <v>9</v>
      </c>
      <c r="E153" s="1">
        <v>0.85799999999999998</v>
      </c>
    </row>
    <row r="154" spans="1:7" x14ac:dyDescent="0.25">
      <c r="A154" s="68"/>
      <c r="B154" s="52" t="s">
        <v>25</v>
      </c>
      <c r="C154" s="53"/>
      <c r="D154" s="54"/>
      <c r="E154" s="5">
        <f>SUM(E140:E153)</f>
        <v>17.952000000000002</v>
      </c>
    </row>
    <row r="155" spans="1:7" x14ac:dyDescent="0.25">
      <c r="A155" s="68"/>
    </row>
    <row r="156" spans="1:7" x14ac:dyDescent="0.25">
      <c r="A156" s="68"/>
      <c r="B156" s="56" t="s">
        <v>127</v>
      </c>
      <c r="C156" s="1" t="s">
        <v>0</v>
      </c>
      <c r="D156" s="1" t="s">
        <v>126</v>
      </c>
      <c r="E156" s="1" t="s">
        <v>2</v>
      </c>
    </row>
    <row r="157" spans="1:7" x14ac:dyDescent="0.25">
      <c r="A157" s="68"/>
      <c r="B157" s="57"/>
      <c r="C157" s="1" t="s">
        <v>241</v>
      </c>
      <c r="D157" s="1" t="s">
        <v>9</v>
      </c>
      <c r="E157" s="1">
        <v>1</v>
      </c>
    </row>
    <row r="158" spans="1:7" x14ac:dyDescent="0.25">
      <c r="A158" s="68"/>
      <c r="B158" s="57"/>
      <c r="C158" s="1" t="s">
        <v>124</v>
      </c>
      <c r="D158" s="1" t="s">
        <v>9</v>
      </c>
      <c r="E158" s="1">
        <v>3.33</v>
      </c>
    </row>
    <row r="159" spans="1:7" x14ac:dyDescent="0.25">
      <c r="A159" s="68"/>
      <c r="B159" s="57"/>
      <c r="C159" s="1" t="s">
        <v>122</v>
      </c>
      <c r="D159" s="1" t="s">
        <v>23</v>
      </c>
      <c r="E159" s="1">
        <v>0.51</v>
      </c>
    </row>
    <row r="160" spans="1:7" x14ac:dyDescent="0.25">
      <c r="A160" s="68"/>
      <c r="B160" s="58"/>
      <c r="C160" s="1" t="s">
        <v>155</v>
      </c>
      <c r="D160" s="1" t="s">
        <v>23</v>
      </c>
      <c r="E160" s="1">
        <v>0.45500000000000002</v>
      </c>
    </row>
    <row r="161" spans="1:5" x14ac:dyDescent="0.25">
      <c r="A161" s="73"/>
      <c r="B161" s="74" t="s">
        <v>25</v>
      </c>
      <c r="C161" s="75"/>
      <c r="D161" s="76"/>
      <c r="E161" s="14">
        <f>SUM(E157:E160)</f>
        <v>5.2949999999999999</v>
      </c>
    </row>
    <row r="162" spans="1:5" x14ac:dyDescent="0.25">
      <c r="A162" s="77" t="s">
        <v>29</v>
      </c>
      <c r="B162" s="78"/>
      <c r="C162" s="78"/>
      <c r="D162" s="79"/>
      <c r="E162" s="5">
        <f>E154+E161</f>
        <v>23.247</v>
      </c>
    </row>
    <row r="164" spans="1:5" x14ac:dyDescent="0.25">
      <c r="A164" s="45" t="s">
        <v>247</v>
      </c>
      <c r="B164" s="1" t="s">
        <v>0</v>
      </c>
      <c r="C164" s="1" t="s">
        <v>26</v>
      </c>
      <c r="D164" s="1" t="s">
        <v>2</v>
      </c>
    </row>
    <row r="165" spans="1:5" x14ac:dyDescent="0.25">
      <c r="A165" s="46"/>
      <c r="B165" s="1" t="s">
        <v>10</v>
      </c>
      <c r="C165" s="2" t="s">
        <v>31</v>
      </c>
      <c r="D165" s="1">
        <v>2.16</v>
      </c>
    </row>
    <row r="166" spans="1:5" x14ac:dyDescent="0.25">
      <c r="A166" s="46"/>
      <c r="B166" s="1" t="s">
        <v>32</v>
      </c>
      <c r="C166" s="3" t="s">
        <v>24</v>
      </c>
      <c r="D166" s="1">
        <v>2.8719999999999999</v>
      </c>
    </row>
    <row r="167" spans="1:5" x14ac:dyDescent="0.25">
      <c r="A167" s="46"/>
      <c r="B167" s="1" t="s">
        <v>33</v>
      </c>
      <c r="C167" s="3" t="s">
        <v>35</v>
      </c>
      <c r="D167" s="1">
        <v>21.15</v>
      </c>
    </row>
    <row r="168" spans="1:5" x14ac:dyDescent="0.25">
      <c r="A168" s="46"/>
      <c r="B168" s="1" t="s">
        <v>34</v>
      </c>
      <c r="C168" s="3" t="s">
        <v>36</v>
      </c>
      <c r="D168" s="1">
        <v>0.16</v>
      </c>
    </row>
    <row r="169" spans="1:5" x14ac:dyDescent="0.25">
      <c r="A169" s="46"/>
      <c r="B169" s="1" t="s">
        <v>37</v>
      </c>
      <c r="C169" s="1" t="s">
        <v>4</v>
      </c>
      <c r="D169" s="1">
        <v>0.63</v>
      </c>
    </row>
    <row r="170" spans="1:5" x14ac:dyDescent="0.25">
      <c r="A170" s="46"/>
      <c r="B170" s="1" t="s">
        <v>1</v>
      </c>
      <c r="C170" s="1" t="s">
        <v>14</v>
      </c>
      <c r="D170" s="1">
        <v>7.6</v>
      </c>
    </row>
    <row r="171" spans="1:5" x14ac:dyDescent="0.25">
      <c r="A171" s="47"/>
      <c r="B171" s="1" t="s">
        <v>38</v>
      </c>
      <c r="C171" s="1" t="s">
        <v>39</v>
      </c>
      <c r="D171" s="1">
        <v>0.48</v>
      </c>
    </row>
    <row r="172" spans="1:5" x14ac:dyDescent="0.25">
      <c r="A172" s="9" t="s">
        <v>29</v>
      </c>
      <c r="B172" s="9"/>
      <c r="C172" s="9"/>
      <c r="D172" s="5">
        <f>SUM(D165:D171)</f>
        <v>35.051999999999992</v>
      </c>
    </row>
    <row r="174" spans="1:5" x14ac:dyDescent="0.25">
      <c r="A174" s="45" t="s">
        <v>101</v>
      </c>
      <c r="B174" s="1" t="s">
        <v>0</v>
      </c>
      <c r="C174" s="1" t="s">
        <v>26</v>
      </c>
      <c r="D174" s="1" t="s">
        <v>2</v>
      </c>
    </row>
    <row r="175" spans="1:5" x14ac:dyDescent="0.25">
      <c r="A175" s="46"/>
      <c r="B175" s="1" t="s">
        <v>199</v>
      </c>
      <c r="C175" s="1" t="s">
        <v>211</v>
      </c>
      <c r="D175" s="1">
        <v>56</v>
      </c>
    </row>
    <row r="176" spans="1:5" x14ac:dyDescent="0.25">
      <c r="A176" s="46"/>
      <c r="B176" s="1" t="s">
        <v>10</v>
      </c>
      <c r="C176" s="2" t="s">
        <v>40</v>
      </c>
      <c r="D176" s="1">
        <v>2.7</v>
      </c>
    </row>
    <row r="177" spans="1:4" x14ac:dyDescent="0.25">
      <c r="A177" s="46"/>
      <c r="B177" s="1" t="s">
        <v>38</v>
      </c>
      <c r="C177" s="3" t="s">
        <v>41</v>
      </c>
      <c r="D177" s="1">
        <v>0.67</v>
      </c>
    </row>
    <row r="178" spans="1:4" x14ac:dyDescent="0.25">
      <c r="A178" s="46"/>
      <c r="B178" s="1" t="s">
        <v>42</v>
      </c>
      <c r="C178" s="3" t="s">
        <v>43</v>
      </c>
      <c r="D178" s="1">
        <v>3.2949999999999999</v>
      </c>
    </row>
    <row r="179" spans="1:4" x14ac:dyDescent="0.25">
      <c r="A179" s="46"/>
      <c r="B179" s="1" t="s">
        <v>44</v>
      </c>
      <c r="C179" s="3" t="s">
        <v>45</v>
      </c>
      <c r="D179" s="1">
        <v>0.7</v>
      </c>
    </row>
    <row r="180" spans="1:4" x14ac:dyDescent="0.25">
      <c r="A180" s="46"/>
      <c r="B180" s="1" t="s">
        <v>46</v>
      </c>
      <c r="C180" s="1" t="s">
        <v>47</v>
      </c>
      <c r="D180" s="1">
        <v>5.6520000000000001</v>
      </c>
    </row>
    <row r="181" spans="1:4" x14ac:dyDescent="0.25">
      <c r="A181" s="47"/>
      <c r="B181" s="1" t="s">
        <v>48</v>
      </c>
      <c r="C181" s="1" t="s">
        <v>22</v>
      </c>
      <c r="D181" s="1">
        <v>4.5</v>
      </c>
    </row>
    <row r="182" spans="1:4" x14ac:dyDescent="0.25">
      <c r="A182" s="9" t="s">
        <v>29</v>
      </c>
      <c r="B182" s="9"/>
      <c r="C182" s="9"/>
      <c r="D182" s="5">
        <f>SUM(D175:D181)</f>
        <v>73.51700000000001</v>
      </c>
    </row>
    <row r="189" spans="1:4" x14ac:dyDescent="0.25">
      <c r="A189" s="45" t="s">
        <v>179</v>
      </c>
      <c r="B189" s="1" t="s">
        <v>0</v>
      </c>
      <c r="C189" s="1" t="s">
        <v>26</v>
      </c>
      <c r="D189" s="1" t="s">
        <v>2</v>
      </c>
    </row>
    <row r="190" spans="1:4" x14ac:dyDescent="0.25">
      <c r="A190" s="46"/>
      <c r="B190" s="1" t="s">
        <v>42</v>
      </c>
      <c r="C190" s="3" t="s">
        <v>49</v>
      </c>
      <c r="D190" s="1">
        <v>0.56899999999999995</v>
      </c>
    </row>
    <row r="191" spans="1:4" x14ac:dyDescent="0.25">
      <c r="A191" s="46"/>
      <c r="B191" s="1" t="s">
        <v>50</v>
      </c>
      <c r="C191" s="3" t="s">
        <v>51</v>
      </c>
      <c r="D191" s="1">
        <v>1.19</v>
      </c>
    </row>
    <row r="192" spans="1:4" x14ac:dyDescent="0.25">
      <c r="A192" s="46"/>
      <c r="B192" s="1" t="s">
        <v>46</v>
      </c>
      <c r="C192" s="3" t="s">
        <v>52</v>
      </c>
      <c r="D192" s="1">
        <v>9.9890000000000008</v>
      </c>
    </row>
    <row r="193" spans="1:4" x14ac:dyDescent="0.25">
      <c r="A193" s="46"/>
      <c r="B193" s="1" t="s">
        <v>48</v>
      </c>
      <c r="C193" s="3" t="s">
        <v>53</v>
      </c>
      <c r="D193" s="1">
        <v>0.81</v>
      </c>
    </row>
    <row r="194" spans="1:4" x14ac:dyDescent="0.25">
      <c r="A194" s="46"/>
      <c r="B194" s="1"/>
      <c r="C194" s="1"/>
      <c r="D194" s="1"/>
    </row>
    <row r="195" spans="1:4" x14ac:dyDescent="0.25">
      <c r="A195" s="47"/>
      <c r="B195" s="1"/>
      <c r="C195" s="1"/>
      <c r="D195" s="1"/>
    </row>
    <row r="196" spans="1:4" ht="15" customHeight="1" x14ac:dyDescent="0.25">
      <c r="A196" s="6" t="s">
        <v>29</v>
      </c>
      <c r="B196" s="7"/>
      <c r="C196" s="8"/>
      <c r="D196" s="5">
        <f>SUM(D190:D195)</f>
        <v>12.558000000000002</v>
      </c>
    </row>
    <row r="197" spans="1:4" ht="15" customHeight="1" x14ac:dyDescent="0.25"/>
    <row r="198" spans="1:4" x14ac:dyDescent="0.25">
      <c r="A198" s="69" t="s">
        <v>210</v>
      </c>
      <c r="B198" s="1" t="s">
        <v>0</v>
      </c>
      <c r="C198" s="1" t="s">
        <v>26</v>
      </c>
      <c r="D198" s="1" t="s">
        <v>2</v>
      </c>
    </row>
    <row r="199" spans="1:4" x14ac:dyDescent="0.25">
      <c r="A199" s="69"/>
      <c r="B199" s="1" t="s">
        <v>63</v>
      </c>
      <c r="C199" s="3" t="s">
        <v>15</v>
      </c>
      <c r="D199" s="1">
        <v>0.05</v>
      </c>
    </row>
    <row r="200" spans="1:4" x14ac:dyDescent="0.25">
      <c r="A200" s="69"/>
      <c r="B200" s="1" t="s">
        <v>65</v>
      </c>
      <c r="C200" s="3" t="s">
        <v>15</v>
      </c>
      <c r="D200" s="1">
        <v>0.22500000000000001</v>
      </c>
    </row>
    <row r="201" spans="1:4" x14ac:dyDescent="0.25">
      <c r="A201" s="69"/>
      <c r="B201" s="1" t="s">
        <v>64</v>
      </c>
      <c r="C201" s="3" t="s">
        <v>15</v>
      </c>
      <c r="D201" s="1">
        <v>5.8000000000000003E-2</v>
      </c>
    </row>
    <row r="202" spans="1:4" x14ac:dyDescent="0.25">
      <c r="A202" s="69"/>
      <c r="B202" s="1" t="s">
        <v>11</v>
      </c>
      <c r="C202" s="3" t="s">
        <v>15</v>
      </c>
      <c r="D202" s="1">
        <v>0.32500000000000001</v>
      </c>
    </row>
    <row r="203" spans="1:4" x14ac:dyDescent="0.25">
      <c r="A203" s="69"/>
      <c r="B203" s="1" t="s">
        <v>66</v>
      </c>
      <c r="C203" s="1" t="s">
        <v>16</v>
      </c>
      <c r="D203" s="1">
        <v>0.2</v>
      </c>
    </row>
    <row r="204" spans="1:4" x14ac:dyDescent="0.25">
      <c r="A204" s="69"/>
      <c r="B204" s="1"/>
      <c r="C204" s="1"/>
      <c r="D204" s="1"/>
    </row>
    <row r="205" spans="1:4" x14ac:dyDescent="0.25">
      <c r="A205" s="82"/>
      <c r="B205" s="82"/>
      <c r="C205" s="82"/>
      <c r="D205" s="5">
        <f>SUM(D199:D204)</f>
        <v>0.8580000000000001</v>
      </c>
    </row>
    <row r="207" spans="1:4" x14ac:dyDescent="0.25">
      <c r="A207" s="69" t="s">
        <v>233</v>
      </c>
      <c r="B207" s="1" t="s">
        <v>0</v>
      </c>
      <c r="C207" s="1" t="s">
        <v>26</v>
      </c>
      <c r="D207" s="1" t="s">
        <v>2</v>
      </c>
    </row>
    <row r="208" spans="1:4" x14ac:dyDescent="0.25">
      <c r="A208" s="69"/>
      <c r="B208" s="1" t="s">
        <v>90</v>
      </c>
      <c r="C208" s="3" t="s">
        <v>174</v>
      </c>
      <c r="D208" s="1">
        <v>0.05</v>
      </c>
    </row>
    <row r="209" spans="1:4" x14ac:dyDescent="0.25">
      <c r="A209" s="69"/>
      <c r="B209" s="1" t="s">
        <v>91</v>
      </c>
      <c r="C209" s="3" t="s">
        <v>175</v>
      </c>
      <c r="D209" s="1">
        <v>0.13</v>
      </c>
    </row>
    <row r="210" spans="1:4" x14ac:dyDescent="0.25">
      <c r="A210" s="69"/>
      <c r="B210" s="1" t="s">
        <v>92</v>
      </c>
      <c r="C210" s="3" t="s">
        <v>176</v>
      </c>
      <c r="D210" s="1">
        <v>0.27</v>
      </c>
    </row>
    <row r="211" spans="1:4" x14ac:dyDescent="0.25">
      <c r="A211" s="69"/>
      <c r="B211" s="1" t="s">
        <v>93</v>
      </c>
      <c r="C211" s="3" t="s">
        <v>177</v>
      </c>
      <c r="D211" s="1">
        <v>1.2</v>
      </c>
    </row>
    <row r="212" spans="1:4" x14ac:dyDescent="0.25">
      <c r="A212" s="69"/>
      <c r="B212" s="1" t="s">
        <v>178</v>
      </c>
      <c r="C212" s="1"/>
      <c r="D212" s="1">
        <v>3.2</v>
      </c>
    </row>
    <row r="213" spans="1:4" x14ac:dyDescent="0.25">
      <c r="A213" s="69"/>
      <c r="B213" s="1"/>
      <c r="C213" s="1"/>
      <c r="D213" s="1"/>
    </row>
    <row r="214" spans="1:4" x14ac:dyDescent="0.25">
      <c r="A214" s="82"/>
      <c r="B214" s="82"/>
      <c r="C214" s="82"/>
      <c r="D214" s="5">
        <f>SUM(D208:D213)</f>
        <v>4.8499999999999996</v>
      </c>
    </row>
    <row r="216" spans="1:4" x14ac:dyDescent="0.25">
      <c r="A216" s="69" t="s">
        <v>127</v>
      </c>
      <c r="B216" s="1" t="s">
        <v>0</v>
      </c>
      <c r="C216" s="1" t="s">
        <v>126</v>
      </c>
      <c r="D216" s="1" t="s">
        <v>2</v>
      </c>
    </row>
    <row r="217" spans="1:4" x14ac:dyDescent="0.25">
      <c r="A217" s="69"/>
      <c r="B217" s="1" t="s">
        <v>122</v>
      </c>
      <c r="C217" s="1" t="s">
        <v>69</v>
      </c>
      <c r="D217" s="1">
        <v>1.512</v>
      </c>
    </row>
    <row r="218" spans="1:4" x14ac:dyDescent="0.25">
      <c r="A218" s="69"/>
      <c r="B218" s="1" t="s">
        <v>123</v>
      </c>
      <c r="C218" s="1" t="s">
        <v>69</v>
      </c>
      <c r="D218" s="1">
        <v>3</v>
      </c>
    </row>
    <row r="219" spans="1:4" x14ac:dyDescent="0.25">
      <c r="A219" s="69"/>
      <c r="B219" s="1" t="s">
        <v>124</v>
      </c>
      <c r="C219" s="1" t="s">
        <v>69</v>
      </c>
      <c r="D219" s="1">
        <v>9.9149999999999991</v>
      </c>
    </row>
    <row r="220" spans="1:4" x14ac:dyDescent="0.25">
      <c r="A220" s="69"/>
      <c r="B220" s="1" t="s">
        <v>125</v>
      </c>
      <c r="C220" s="1" t="s">
        <v>23</v>
      </c>
      <c r="D220" s="1">
        <v>1.95</v>
      </c>
    </row>
    <row r="221" spans="1:4" x14ac:dyDescent="0.25">
      <c r="A221" s="71"/>
      <c r="B221" s="71"/>
      <c r="C221" s="71"/>
      <c r="D221" s="5">
        <f>SUM(D217:D220)</f>
        <v>16.376999999999999</v>
      </c>
    </row>
    <row r="223" spans="1:4" x14ac:dyDescent="0.25">
      <c r="A223" s="56" t="s">
        <v>141</v>
      </c>
      <c r="B223" s="1" t="s">
        <v>0</v>
      </c>
      <c r="C223" s="1" t="s">
        <v>26</v>
      </c>
      <c r="D223" s="1" t="s">
        <v>2</v>
      </c>
    </row>
    <row r="224" spans="1:4" x14ac:dyDescent="0.25">
      <c r="A224" s="57"/>
      <c r="B224" s="1" t="s">
        <v>142</v>
      </c>
      <c r="C224" s="1" t="s">
        <v>24</v>
      </c>
      <c r="D224" s="1">
        <v>3.6</v>
      </c>
    </row>
    <row r="225" spans="1:5" x14ac:dyDescent="0.25">
      <c r="A225" s="57"/>
      <c r="B225" s="1" t="s">
        <v>44</v>
      </c>
      <c r="C225" s="1" t="s">
        <v>45</v>
      </c>
      <c r="D225" s="1">
        <v>0.7</v>
      </c>
    </row>
    <row r="226" spans="1:5" x14ac:dyDescent="0.25">
      <c r="A226" s="57"/>
      <c r="B226" s="1" t="s">
        <v>143</v>
      </c>
      <c r="C226" s="1" t="s">
        <v>56</v>
      </c>
      <c r="D226" s="1">
        <v>0.6</v>
      </c>
    </row>
    <row r="227" spans="1:5" x14ac:dyDescent="0.25">
      <c r="A227" s="57"/>
      <c r="B227" s="1" t="s">
        <v>144</v>
      </c>
      <c r="C227" s="1" t="s">
        <v>14</v>
      </c>
      <c r="D227" s="1">
        <v>9.6</v>
      </c>
    </row>
    <row r="228" spans="1:5" x14ac:dyDescent="0.25">
      <c r="A228" s="58"/>
      <c r="B228" s="12" t="s">
        <v>135</v>
      </c>
      <c r="C228" s="12" t="s">
        <v>145</v>
      </c>
      <c r="D228" s="12">
        <v>4</v>
      </c>
    </row>
    <row r="229" spans="1:5" x14ac:dyDescent="0.25">
      <c r="A229" s="71"/>
      <c r="B229" s="71"/>
      <c r="C229" s="71"/>
      <c r="D229" s="5">
        <f>SUM(D224:D228)</f>
        <v>18.5</v>
      </c>
    </row>
    <row r="231" spans="1:5" x14ac:dyDescent="0.25">
      <c r="A231" s="56" t="s">
        <v>156</v>
      </c>
      <c r="B231" s="1" t="s">
        <v>0</v>
      </c>
      <c r="C231" s="1" t="s">
        <v>26</v>
      </c>
      <c r="D231" s="1" t="s">
        <v>2</v>
      </c>
    </row>
    <row r="232" spans="1:5" x14ac:dyDescent="0.25">
      <c r="A232" s="57"/>
      <c r="B232" s="1" t="s">
        <v>157</v>
      </c>
      <c r="C232" s="1" t="s">
        <v>12</v>
      </c>
      <c r="D232" s="1">
        <v>0.25</v>
      </c>
    </row>
    <row r="233" spans="1:5" x14ac:dyDescent="0.25">
      <c r="A233" s="57"/>
      <c r="B233" s="1" t="s">
        <v>158</v>
      </c>
      <c r="C233" s="1" t="s">
        <v>16</v>
      </c>
      <c r="D233" s="1">
        <v>0.1</v>
      </c>
    </row>
    <row r="234" spans="1:5" x14ac:dyDescent="0.25">
      <c r="A234" s="57"/>
      <c r="B234" s="1" t="s">
        <v>159</v>
      </c>
      <c r="C234" s="1" t="s">
        <v>16</v>
      </c>
      <c r="D234" s="1">
        <v>0.2</v>
      </c>
    </row>
    <row r="235" spans="1:5" x14ac:dyDescent="0.25">
      <c r="A235" s="57"/>
      <c r="B235" s="1" t="s">
        <v>150</v>
      </c>
      <c r="C235" s="1" t="s">
        <v>15</v>
      </c>
      <c r="D235" s="1">
        <v>0.3</v>
      </c>
    </row>
    <row r="236" spans="1:5" x14ac:dyDescent="0.25">
      <c r="A236" s="71"/>
      <c r="B236" s="71"/>
      <c r="C236" s="71"/>
      <c r="D236" s="5">
        <f>SUM(D232:D235)</f>
        <v>0.85000000000000009</v>
      </c>
    </row>
    <row r="239" spans="1:5" x14ac:dyDescent="0.25">
      <c r="A239" s="56" t="s">
        <v>70</v>
      </c>
      <c r="B239" s="1" t="s">
        <v>0</v>
      </c>
      <c r="C239" s="1" t="s">
        <v>26</v>
      </c>
      <c r="D239" s="1" t="s">
        <v>2</v>
      </c>
    </row>
    <row r="240" spans="1:5" x14ac:dyDescent="0.25">
      <c r="A240" s="57"/>
      <c r="B240" s="1" t="s">
        <v>160</v>
      </c>
      <c r="C240" s="1" t="s">
        <v>12</v>
      </c>
      <c r="D240" s="1">
        <v>0.17</v>
      </c>
      <c r="E240">
        <v>0.17</v>
      </c>
    </row>
    <row r="241" spans="1:5" x14ac:dyDescent="0.25">
      <c r="A241" s="57"/>
      <c r="B241" s="1" t="s">
        <v>161</v>
      </c>
      <c r="C241" s="1" t="s">
        <v>16</v>
      </c>
      <c r="D241" s="1">
        <v>0.03</v>
      </c>
    </row>
    <row r="242" spans="1:5" x14ac:dyDescent="0.25">
      <c r="A242" s="57"/>
      <c r="B242" s="1" t="s">
        <v>11</v>
      </c>
      <c r="C242" s="1" t="s">
        <v>16</v>
      </c>
      <c r="D242" s="1">
        <v>0.11</v>
      </c>
      <c r="E242">
        <v>0.15</v>
      </c>
    </row>
    <row r="243" spans="1:5" x14ac:dyDescent="0.25">
      <c r="A243" s="57"/>
      <c r="B243" s="1" t="s">
        <v>59</v>
      </c>
      <c r="C243" s="1" t="s">
        <v>16</v>
      </c>
      <c r="D243" s="1">
        <v>0.03</v>
      </c>
    </row>
    <row r="244" spans="1:5" x14ac:dyDescent="0.25">
      <c r="A244" s="71"/>
      <c r="B244" s="71"/>
      <c r="C244" s="71"/>
      <c r="D244" s="5">
        <f>SUM(D240:D243)</f>
        <v>0.33999999999999997</v>
      </c>
    </row>
    <row r="247" spans="1:5" x14ac:dyDescent="0.25">
      <c r="A247" s="56" t="s">
        <v>162</v>
      </c>
      <c r="B247" s="1" t="s">
        <v>0</v>
      </c>
      <c r="C247" s="1" t="s">
        <v>26</v>
      </c>
      <c r="D247" s="1" t="s">
        <v>2</v>
      </c>
    </row>
    <row r="248" spans="1:5" x14ac:dyDescent="0.25">
      <c r="A248" s="57"/>
      <c r="B248" s="1" t="s">
        <v>163</v>
      </c>
      <c r="C248" s="1" t="s">
        <v>12</v>
      </c>
      <c r="D248" s="1">
        <v>0.3</v>
      </c>
    </row>
    <row r="249" spans="1:5" x14ac:dyDescent="0.25">
      <c r="A249" s="57"/>
      <c r="B249" s="1" t="s">
        <v>164</v>
      </c>
      <c r="C249" s="1" t="s">
        <v>12</v>
      </c>
      <c r="D249" s="1">
        <v>0.18</v>
      </c>
    </row>
    <row r="250" spans="1:5" x14ac:dyDescent="0.25">
      <c r="A250" s="57"/>
      <c r="B250" s="1" t="s">
        <v>158</v>
      </c>
      <c r="C250" s="1" t="s">
        <v>16</v>
      </c>
      <c r="D250" s="1">
        <v>0.31</v>
      </c>
    </row>
    <row r="251" spans="1:5" x14ac:dyDescent="0.25">
      <c r="A251" s="57"/>
      <c r="B251" s="1"/>
      <c r="C251" s="1"/>
      <c r="D251" s="1"/>
    </row>
    <row r="252" spans="1:5" x14ac:dyDescent="0.25">
      <c r="A252" s="71"/>
      <c r="B252" s="71"/>
      <c r="C252" s="71"/>
      <c r="D252" s="5">
        <f>SUM(D248:D250)</f>
        <v>0.79</v>
      </c>
    </row>
    <row r="254" spans="1:5" x14ac:dyDescent="0.25">
      <c r="A254" s="84" t="s">
        <v>165</v>
      </c>
      <c r="B254" s="1" t="s">
        <v>0</v>
      </c>
      <c r="C254" s="1" t="s">
        <v>26</v>
      </c>
      <c r="D254" s="1" t="s">
        <v>2</v>
      </c>
    </row>
    <row r="255" spans="1:5" x14ac:dyDescent="0.25">
      <c r="A255" s="85"/>
      <c r="B255" s="1" t="s">
        <v>166</v>
      </c>
      <c r="C255" s="1" t="s">
        <v>9</v>
      </c>
      <c r="D255" s="1">
        <v>1.75</v>
      </c>
    </row>
    <row r="256" spans="1:5" x14ac:dyDescent="0.25">
      <c r="A256" s="85"/>
      <c r="B256" s="1" t="s">
        <v>167</v>
      </c>
      <c r="C256" s="1" t="s">
        <v>5</v>
      </c>
      <c r="D256" s="1">
        <v>0.3</v>
      </c>
    </row>
    <row r="257" spans="1:5" x14ac:dyDescent="0.25">
      <c r="A257" s="85"/>
      <c r="B257" s="1" t="s">
        <v>95</v>
      </c>
      <c r="C257" s="1" t="s">
        <v>12</v>
      </c>
      <c r="D257" s="1">
        <v>0.52</v>
      </c>
    </row>
    <row r="258" spans="1:5" x14ac:dyDescent="0.25">
      <c r="A258" s="85"/>
      <c r="B258" s="1" t="s">
        <v>1</v>
      </c>
      <c r="C258" s="1" t="s">
        <v>16</v>
      </c>
      <c r="D258" s="1">
        <v>0.19</v>
      </c>
    </row>
    <row r="259" spans="1:5" x14ac:dyDescent="0.25">
      <c r="A259" s="85"/>
      <c r="B259" s="1" t="s">
        <v>170</v>
      </c>
      <c r="C259" s="1" t="s">
        <v>16</v>
      </c>
      <c r="D259" s="1">
        <v>0.2</v>
      </c>
    </row>
    <row r="260" spans="1:5" x14ac:dyDescent="0.25">
      <c r="A260" s="85"/>
      <c r="B260" s="1" t="s">
        <v>168</v>
      </c>
      <c r="C260" s="1" t="s">
        <v>169</v>
      </c>
      <c r="D260" s="1">
        <v>0.04</v>
      </c>
    </row>
    <row r="261" spans="1:5" x14ac:dyDescent="0.25">
      <c r="A261" s="71"/>
      <c r="B261" s="71"/>
      <c r="C261" s="71"/>
      <c r="D261" s="5">
        <f>SUM(D255:D260)</f>
        <v>3</v>
      </c>
    </row>
    <row r="263" spans="1:5" x14ac:dyDescent="0.25">
      <c r="A263" s="86" t="s">
        <v>171</v>
      </c>
      <c r="B263" s="1" t="s">
        <v>0</v>
      </c>
      <c r="C263" s="1" t="s">
        <v>26</v>
      </c>
      <c r="D263" s="1" t="s">
        <v>2</v>
      </c>
    </row>
    <row r="264" spans="1:5" x14ac:dyDescent="0.25">
      <c r="A264" s="87"/>
      <c r="B264" s="1" t="s">
        <v>166</v>
      </c>
      <c r="C264" s="1" t="s">
        <v>9</v>
      </c>
      <c r="D264" s="1">
        <v>1.75</v>
      </c>
    </row>
    <row r="265" spans="1:5" x14ac:dyDescent="0.25">
      <c r="A265" s="87"/>
      <c r="B265" s="1" t="s">
        <v>172</v>
      </c>
      <c r="C265" s="1" t="s">
        <v>19</v>
      </c>
      <c r="D265" s="1">
        <v>2</v>
      </c>
    </row>
    <row r="266" spans="1:5" x14ac:dyDescent="0.25">
      <c r="A266" s="87"/>
      <c r="B266" s="1" t="s">
        <v>173</v>
      </c>
      <c r="C266" s="1" t="s">
        <v>169</v>
      </c>
      <c r="D266" s="1">
        <v>2.5</v>
      </c>
    </row>
    <row r="267" spans="1:5" x14ac:dyDescent="0.25">
      <c r="A267" s="87"/>
      <c r="B267" s="1" t="s">
        <v>116</v>
      </c>
      <c r="C267" s="1" t="s">
        <v>16</v>
      </c>
      <c r="D267" s="1">
        <v>0.42499999999999999</v>
      </c>
    </row>
    <row r="268" spans="1:5" x14ac:dyDescent="0.25">
      <c r="A268" s="87"/>
      <c r="B268" s="1" t="s">
        <v>118</v>
      </c>
      <c r="C268" s="1" t="s">
        <v>5</v>
      </c>
      <c r="D268" s="1">
        <v>0.24</v>
      </c>
    </row>
    <row r="269" spans="1:5" x14ac:dyDescent="0.25">
      <c r="A269" s="71"/>
      <c r="B269" s="71"/>
      <c r="C269" s="71"/>
      <c r="D269" s="5">
        <f>SUM(D264:D268)</f>
        <v>6.915</v>
      </c>
    </row>
    <row r="271" spans="1:5" x14ac:dyDescent="0.25">
      <c r="A271" s="86" t="s">
        <v>191</v>
      </c>
      <c r="B271" s="1" t="s">
        <v>0</v>
      </c>
      <c r="C271" s="1" t="s">
        <v>181</v>
      </c>
      <c r="D271" s="1" t="s">
        <v>2</v>
      </c>
      <c r="E271" s="83" t="s">
        <v>190</v>
      </c>
    </row>
    <row r="272" spans="1:5" x14ac:dyDescent="0.25">
      <c r="A272" s="87"/>
      <c r="B272" s="1" t="s">
        <v>182</v>
      </c>
      <c r="C272" s="1" t="s">
        <v>145</v>
      </c>
      <c r="D272" s="1">
        <v>9</v>
      </c>
      <c r="E272" s="83"/>
    </row>
    <row r="273" spans="1:5" x14ac:dyDescent="0.25">
      <c r="A273" s="87"/>
      <c r="B273" s="1" t="s">
        <v>183</v>
      </c>
      <c r="C273" s="1" t="s">
        <v>3</v>
      </c>
      <c r="D273" s="1">
        <v>4.5999999999999996</v>
      </c>
      <c r="E273" s="83"/>
    </row>
    <row r="274" spans="1:5" x14ac:dyDescent="0.25">
      <c r="A274" s="87"/>
      <c r="B274" s="1" t="s">
        <v>184</v>
      </c>
      <c r="C274" s="1" t="s">
        <v>3</v>
      </c>
      <c r="D274" s="1">
        <v>5.2</v>
      </c>
      <c r="E274" s="83"/>
    </row>
    <row r="275" spans="1:5" x14ac:dyDescent="0.25">
      <c r="A275" s="87"/>
      <c r="B275" s="1" t="s">
        <v>185</v>
      </c>
      <c r="C275" s="1" t="s">
        <v>3</v>
      </c>
      <c r="D275" s="1">
        <v>7</v>
      </c>
      <c r="E275" s="83"/>
    </row>
    <row r="276" spans="1:5" x14ac:dyDescent="0.25">
      <c r="A276" s="87"/>
      <c r="B276" s="1" t="s">
        <v>1</v>
      </c>
      <c r="C276" s="1" t="s">
        <v>3</v>
      </c>
      <c r="D276" s="1">
        <v>3.7</v>
      </c>
      <c r="E276" s="83"/>
    </row>
    <row r="277" spans="1:5" x14ac:dyDescent="0.25">
      <c r="A277" s="87"/>
      <c r="B277" s="1" t="s">
        <v>186</v>
      </c>
      <c r="C277" s="1" t="s">
        <v>3</v>
      </c>
      <c r="D277" s="1">
        <v>3</v>
      </c>
      <c r="E277" s="83"/>
    </row>
    <row r="278" spans="1:5" x14ac:dyDescent="0.25">
      <c r="A278" s="87"/>
      <c r="B278" s="1" t="s">
        <v>187</v>
      </c>
      <c r="C278" s="1" t="s">
        <v>3</v>
      </c>
      <c r="D278" s="1">
        <v>2.5</v>
      </c>
      <c r="E278" s="83"/>
    </row>
    <row r="279" spans="1:5" x14ac:dyDescent="0.25">
      <c r="A279" s="87"/>
      <c r="B279" s="1" t="s">
        <v>188</v>
      </c>
      <c r="C279" s="1" t="s">
        <v>3</v>
      </c>
      <c r="D279" s="1">
        <v>0.7</v>
      </c>
      <c r="E279" s="83"/>
    </row>
    <row r="280" spans="1:5" x14ac:dyDescent="0.25">
      <c r="A280" s="87"/>
      <c r="B280" s="1" t="s">
        <v>13</v>
      </c>
      <c r="C280" s="1" t="s">
        <v>145</v>
      </c>
      <c r="D280" s="1">
        <v>12</v>
      </c>
      <c r="E280" s="83"/>
    </row>
    <row r="281" spans="1:5" x14ac:dyDescent="0.25">
      <c r="A281" s="87"/>
      <c r="B281" s="1" t="s">
        <v>189</v>
      </c>
      <c r="C281" s="1" t="s">
        <v>3</v>
      </c>
      <c r="D281" s="1">
        <v>2.7</v>
      </c>
      <c r="E281" s="83"/>
    </row>
    <row r="282" spans="1:5" x14ac:dyDescent="0.25">
      <c r="A282" s="71" t="s">
        <v>25</v>
      </c>
      <c r="B282" s="71"/>
      <c r="C282" s="71"/>
      <c r="D282" s="5">
        <f>SUM(D272:D281)</f>
        <v>50.400000000000006</v>
      </c>
      <c r="E282" s="83"/>
    </row>
    <row r="283" spans="1:5" x14ac:dyDescent="0.25">
      <c r="A283" s="55" t="s">
        <v>192</v>
      </c>
      <c r="B283" s="55"/>
      <c r="C283" s="55"/>
      <c r="D283" s="55"/>
      <c r="E283" s="1" t="s">
        <v>193</v>
      </c>
    </row>
    <row r="289" spans="1:4" x14ac:dyDescent="0.25">
      <c r="A289" s="86" t="s">
        <v>194</v>
      </c>
      <c r="B289" s="1" t="s">
        <v>0</v>
      </c>
      <c r="C289" s="1" t="s">
        <v>26</v>
      </c>
      <c r="D289" s="1" t="s">
        <v>2</v>
      </c>
    </row>
    <row r="290" spans="1:4" x14ac:dyDescent="0.25">
      <c r="A290" s="87"/>
      <c r="B290" s="1" t="s">
        <v>195</v>
      </c>
      <c r="C290" s="1" t="s">
        <v>196</v>
      </c>
      <c r="D290" s="1">
        <v>2.85</v>
      </c>
    </row>
    <row r="291" spans="1:4" x14ac:dyDescent="0.25">
      <c r="A291" s="87"/>
      <c r="B291" s="1" t="s">
        <v>191</v>
      </c>
      <c r="C291" s="1" t="s">
        <v>15</v>
      </c>
      <c r="D291" s="1">
        <v>0.34499999999999997</v>
      </c>
    </row>
    <row r="292" spans="1:4" x14ac:dyDescent="0.25">
      <c r="A292" s="87"/>
      <c r="B292" s="1" t="s">
        <v>107</v>
      </c>
      <c r="C292" s="1" t="s">
        <v>12</v>
      </c>
      <c r="D292" s="1">
        <v>0.11</v>
      </c>
    </row>
    <row r="293" spans="1:4" x14ac:dyDescent="0.25">
      <c r="A293" s="87"/>
      <c r="B293" s="1"/>
      <c r="C293" s="1"/>
      <c r="D293" s="1"/>
    </row>
    <row r="294" spans="1:4" x14ac:dyDescent="0.25">
      <c r="A294" s="87"/>
      <c r="B294" s="1"/>
      <c r="C294" s="1"/>
      <c r="D294" s="1"/>
    </row>
    <row r="295" spans="1:4" x14ac:dyDescent="0.25">
      <c r="A295" s="71"/>
      <c r="B295" s="71"/>
      <c r="C295" s="71"/>
      <c r="D295" s="5">
        <f>SUM(D290:D294)</f>
        <v>3.3050000000000002</v>
      </c>
    </row>
    <row r="298" spans="1:4" x14ac:dyDescent="0.25">
      <c r="A298" s="86" t="s">
        <v>135</v>
      </c>
      <c r="B298" s="1" t="s">
        <v>0</v>
      </c>
      <c r="C298" s="1" t="s">
        <v>26</v>
      </c>
      <c r="D298" s="1" t="s">
        <v>2</v>
      </c>
    </row>
    <row r="299" spans="1:4" x14ac:dyDescent="0.25">
      <c r="A299" s="87"/>
      <c r="B299" s="1" t="s">
        <v>135</v>
      </c>
      <c r="C299" s="1" t="s">
        <v>145</v>
      </c>
      <c r="D299" s="1">
        <v>5</v>
      </c>
    </row>
    <row r="300" spans="1:4" x14ac:dyDescent="0.25">
      <c r="A300" s="87"/>
      <c r="B300" s="1" t="s">
        <v>44</v>
      </c>
      <c r="C300" s="1" t="s">
        <v>213</v>
      </c>
      <c r="D300" s="1">
        <v>1.4</v>
      </c>
    </row>
    <row r="301" spans="1:4" x14ac:dyDescent="0.25">
      <c r="A301" s="87"/>
      <c r="B301" s="1" t="s">
        <v>197</v>
      </c>
      <c r="C301" s="1" t="s">
        <v>6</v>
      </c>
      <c r="D301" s="1">
        <v>4.25</v>
      </c>
    </row>
    <row r="302" spans="1:4" x14ac:dyDescent="0.25">
      <c r="A302" s="87"/>
      <c r="B302" s="1" t="s">
        <v>198</v>
      </c>
      <c r="C302" s="1" t="s">
        <v>14</v>
      </c>
      <c r="D302" s="1">
        <v>9</v>
      </c>
    </row>
    <row r="303" spans="1:4" x14ac:dyDescent="0.25">
      <c r="A303" s="87"/>
      <c r="B303" s="1" t="s">
        <v>149</v>
      </c>
      <c r="C303" s="1" t="s">
        <v>7</v>
      </c>
      <c r="D303" s="1">
        <v>0.9</v>
      </c>
    </row>
    <row r="304" spans="1:4" x14ac:dyDescent="0.25">
      <c r="A304" s="87"/>
      <c r="B304" s="1" t="s">
        <v>142</v>
      </c>
      <c r="C304" s="1" t="s">
        <v>56</v>
      </c>
      <c r="D304" s="1">
        <v>3.6</v>
      </c>
    </row>
    <row r="305" spans="1:4" x14ac:dyDescent="0.25">
      <c r="A305" s="87"/>
      <c r="B305" s="1" t="s">
        <v>143</v>
      </c>
      <c r="C305" s="1" t="s">
        <v>56</v>
      </c>
      <c r="D305" s="1">
        <v>0.6</v>
      </c>
    </row>
    <row r="306" spans="1:4" x14ac:dyDescent="0.25">
      <c r="A306" s="71"/>
      <c r="B306" s="71"/>
      <c r="C306" s="71"/>
      <c r="D306" s="5">
        <f>SUM(D299:D305)</f>
        <v>24.75</v>
      </c>
    </row>
    <row r="308" spans="1:4" x14ac:dyDescent="0.25">
      <c r="A308" s="86" t="s">
        <v>206</v>
      </c>
      <c r="B308" s="1" t="s">
        <v>0</v>
      </c>
      <c r="C308" s="1" t="s">
        <v>26</v>
      </c>
      <c r="D308" s="1" t="s">
        <v>2</v>
      </c>
    </row>
    <row r="309" spans="1:4" x14ac:dyDescent="0.25">
      <c r="A309" s="87"/>
      <c r="B309" s="1" t="s">
        <v>27</v>
      </c>
      <c r="C309" s="1" t="s">
        <v>35</v>
      </c>
      <c r="D309" s="1">
        <v>1.5</v>
      </c>
    </row>
    <row r="310" spans="1:4" x14ac:dyDescent="0.25">
      <c r="A310" s="87"/>
      <c r="B310" s="1" t="s">
        <v>95</v>
      </c>
      <c r="C310" s="1" t="s">
        <v>24</v>
      </c>
      <c r="D310" s="1">
        <v>2</v>
      </c>
    </row>
    <row r="311" spans="1:4" x14ac:dyDescent="0.25">
      <c r="A311" s="87"/>
      <c r="B311" s="1" t="s">
        <v>204</v>
      </c>
      <c r="C311" s="1" t="s">
        <v>19</v>
      </c>
      <c r="D311" s="1">
        <v>0.05</v>
      </c>
    </row>
    <row r="312" spans="1:4" x14ac:dyDescent="0.25">
      <c r="A312" s="87"/>
      <c r="B312" s="1" t="s">
        <v>205</v>
      </c>
      <c r="C312" s="1" t="s">
        <v>17</v>
      </c>
      <c r="D312" s="1">
        <v>0.32</v>
      </c>
    </row>
    <row r="313" spans="1:4" x14ac:dyDescent="0.25">
      <c r="A313" s="87"/>
      <c r="B313" s="1"/>
      <c r="C313" s="1"/>
      <c r="D313" s="1"/>
    </row>
    <row r="314" spans="1:4" x14ac:dyDescent="0.25">
      <c r="A314" s="71"/>
      <c r="B314" s="71"/>
      <c r="C314" s="71"/>
      <c r="D314" s="5">
        <f>SUM(D309:D313)</f>
        <v>3.8699999999999997</v>
      </c>
    </row>
    <row r="317" spans="1:4" x14ac:dyDescent="0.25">
      <c r="A317" s="86" t="s">
        <v>207</v>
      </c>
      <c r="B317" s="1" t="s">
        <v>0</v>
      </c>
      <c r="C317" s="1" t="s">
        <v>26</v>
      </c>
      <c r="D317" s="1" t="s">
        <v>2</v>
      </c>
    </row>
    <row r="318" spans="1:4" x14ac:dyDescent="0.25">
      <c r="A318" s="87"/>
      <c r="B318" s="1" t="s">
        <v>208</v>
      </c>
      <c r="C318" s="1" t="s">
        <v>209</v>
      </c>
      <c r="D318" s="1">
        <v>12</v>
      </c>
    </row>
    <row r="319" spans="1:4" x14ac:dyDescent="0.25">
      <c r="A319" s="87"/>
      <c r="B319" s="1" t="s">
        <v>132</v>
      </c>
      <c r="C319" s="1" t="s">
        <v>8</v>
      </c>
      <c r="D319" s="1">
        <v>3</v>
      </c>
    </row>
    <row r="320" spans="1:4" x14ac:dyDescent="0.25">
      <c r="A320" s="87"/>
      <c r="B320" s="1"/>
      <c r="C320" s="1"/>
      <c r="D320" s="1"/>
    </row>
    <row r="321" spans="1:4" x14ac:dyDescent="0.25">
      <c r="A321" s="87"/>
      <c r="B321" s="1"/>
      <c r="C321" s="1"/>
      <c r="D321" s="1"/>
    </row>
    <row r="322" spans="1:4" x14ac:dyDescent="0.25">
      <c r="A322" s="87"/>
      <c r="B322" s="1"/>
      <c r="C322" s="1"/>
      <c r="D322" s="1"/>
    </row>
    <row r="323" spans="1:4" x14ac:dyDescent="0.25">
      <c r="A323" s="71"/>
      <c r="B323" s="71"/>
      <c r="C323" s="71"/>
      <c r="D323" s="5">
        <f>SUM(D318:D322)</f>
        <v>15</v>
      </c>
    </row>
    <row r="326" spans="1:4" x14ac:dyDescent="0.25">
      <c r="A326" s="86" t="s">
        <v>100</v>
      </c>
      <c r="B326" s="1" t="s">
        <v>0</v>
      </c>
      <c r="C326" s="1" t="s">
        <v>26</v>
      </c>
      <c r="D326" s="1" t="s">
        <v>2</v>
      </c>
    </row>
    <row r="327" spans="1:4" x14ac:dyDescent="0.25">
      <c r="A327" s="87"/>
      <c r="B327" s="1" t="s">
        <v>42</v>
      </c>
      <c r="C327" s="1" t="s">
        <v>214</v>
      </c>
      <c r="D327" s="1">
        <v>5.5</v>
      </c>
    </row>
    <row r="328" spans="1:4" x14ac:dyDescent="0.25">
      <c r="A328" s="87"/>
      <c r="B328" s="1" t="s">
        <v>215</v>
      </c>
      <c r="C328" s="1" t="s">
        <v>19</v>
      </c>
      <c r="D328" s="1">
        <v>0.72</v>
      </c>
    </row>
    <row r="329" spans="1:4" x14ac:dyDescent="0.25">
      <c r="A329" s="87"/>
      <c r="B329" s="1" t="s">
        <v>216</v>
      </c>
      <c r="C329" s="1" t="s">
        <v>217</v>
      </c>
      <c r="D329" s="1">
        <v>0.18</v>
      </c>
    </row>
    <row r="330" spans="1:4" x14ac:dyDescent="0.25">
      <c r="A330" s="87"/>
      <c r="B330" s="1" t="s">
        <v>218</v>
      </c>
      <c r="C330" s="1" t="s">
        <v>6</v>
      </c>
      <c r="D330" s="1">
        <v>2</v>
      </c>
    </row>
    <row r="331" spans="1:4" x14ac:dyDescent="0.25">
      <c r="A331" s="87"/>
      <c r="B331" s="1" t="s">
        <v>10</v>
      </c>
      <c r="C331" s="1" t="s">
        <v>18</v>
      </c>
      <c r="D331" s="1">
        <v>0.63</v>
      </c>
    </row>
    <row r="332" spans="1:4" x14ac:dyDescent="0.25">
      <c r="A332" s="87"/>
      <c r="B332" s="1" t="s">
        <v>143</v>
      </c>
      <c r="C332" s="1" t="s">
        <v>14</v>
      </c>
      <c r="D332" s="1">
        <v>0.4</v>
      </c>
    </row>
    <row r="333" spans="1:4" x14ac:dyDescent="0.25">
      <c r="A333" s="71"/>
      <c r="B333" s="71"/>
      <c r="C333" s="71"/>
      <c r="D333" s="5">
        <f>SUM(D327:D332)</f>
        <v>9.43</v>
      </c>
    </row>
    <row r="339" spans="1:4" x14ac:dyDescent="0.25">
      <c r="A339" s="86" t="s">
        <v>222</v>
      </c>
      <c r="B339" s="1" t="s">
        <v>0</v>
      </c>
      <c r="C339" s="1" t="s">
        <v>26</v>
      </c>
      <c r="D339" s="1" t="s">
        <v>2</v>
      </c>
    </row>
    <row r="340" spans="1:4" x14ac:dyDescent="0.25">
      <c r="A340" s="87"/>
      <c r="B340" s="1" t="s">
        <v>223</v>
      </c>
      <c r="C340" s="1" t="s">
        <v>224</v>
      </c>
      <c r="D340" s="1">
        <v>12.5</v>
      </c>
    </row>
    <row r="341" spans="1:4" x14ac:dyDescent="0.25">
      <c r="A341" s="87"/>
      <c r="B341" s="1" t="s">
        <v>28</v>
      </c>
      <c r="C341" s="1" t="s">
        <v>225</v>
      </c>
      <c r="D341" s="1">
        <v>3.6</v>
      </c>
    </row>
    <row r="342" spans="1:4" x14ac:dyDescent="0.25">
      <c r="A342" s="87"/>
      <c r="B342" s="1"/>
      <c r="C342" s="1"/>
      <c r="D342" s="1"/>
    </row>
    <row r="343" spans="1:4" x14ac:dyDescent="0.25">
      <c r="A343" s="87"/>
      <c r="B343" s="1"/>
      <c r="C343" s="1"/>
      <c r="D343" s="1"/>
    </row>
    <row r="344" spans="1:4" ht="15" customHeight="1" x14ac:dyDescent="0.25">
      <c r="A344" s="88"/>
      <c r="B344" s="1"/>
      <c r="C344" s="1"/>
      <c r="D344" s="1"/>
    </row>
    <row r="345" spans="1:4" x14ac:dyDescent="0.25">
      <c r="A345" s="71"/>
      <c r="B345" s="71"/>
      <c r="C345" s="71"/>
      <c r="D345" s="5">
        <f>SUM(D340:D344)</f>
        <v>16.100000000000001</v>
      </c>
    </row>
    <row r="347" spans="1:4" x14ac:dyDescent="0.25">
      <c r="A347" s="89" t="s">
        <v>235</v>
      </c>
      <c r="B347" s="1" t="s">
        <v>0</v>
      </c>
      <c r="C347" s="1" t="s">
        <v>26</v>
      </c>
      <c r="D347" s="1" t="s">
        <v>2</v>
      </c>
    </row>
    <row r="348" spans="1:4" x14ac:dyDescent="0.25">
      <c r="A348" s="90"/>
      <c r="B348" s="1" t="s">
        <v>236</v>
      </c>
      <c r="C348" s="1" t="s">
        <v>7</v>
      </c>
      <c r="D348" s="1">
        <v>3.54</v>
      </c>
    </row>
    <row r="349" spans="1:4" x14ac:dyDescent="0.25">
      <c r="A349" s="90"/>
      <c r="B349" s="1" t="s">
        <v>237</v>
      </c>
      <c r="C349" s="1" t="s">
        <v>104</v>
      </c>
      <c r="D349" s="1">
        <v>1.88</v>
      </c>
    </row>
    <row r="350" spans="1:4" x14ac:dyDescent="0.25">
      <c r="A350" s="90"/>
      <c r="B350" s="1" t="s">
        <v>202</v>
      </c>
      <c r="C350" s="1" t="s">
        <v>20</v>
      </c>
      <c r="D350" s="1">
        <v>1.62</v>
      </c>
    </row>
    <row r="351" spans="1:4" x14ac:dyDescent="0.25">
      <c r="A351" s="90"/>
      <c r="B351" s="1" t="s">
        <v>238</v>
      </c>
      <c r="C351" s="1" t="s">
        <v>14</v>
      </c>
      <c r="D351" s="1">
        <v>2</v>
      </c>
    </row>
    <row r="352" spans="1:4" x14ac:dyDescent="0.25">
      <c r="A352" s="90"/>
      <c r="B352" s="1" t="s">
        <v>239</v>
      </c>
      <c r="C352" s="1" t="s">
        <v>4</v>
      </c>
      <c r="D352" s="1">
        <v>0.77</v>
      </c>
    </row>
    <row r="353" spans="1:4" x14ac:dyDescent="0.25">
      <c r="A353" s="71"/>
      <c r="B353" s="71"/>
      <c r="C353" s="71"/>
      <c r="D353" s="5">
        <f>SUM(D348:D352)</f>
        <v>9.8099999999999987</v>
      </c>
    </row>
    <row r="355" spans="1:4" x14ac:dyDescent="0.25">
      <c r="A355" s="91" t="s">
        <v>243</v>
      </c>
      <c r="B355" s="1" t="s">
        <v>0</v>
      </c>
      <c r="C355" s="1" t="s">
        <v>26</v>
      </c>
      <c r="D355" s="1" t="s">
        <v>2</v>
      </c>
    </row>
    <row r="356" spans="1:4" x14ac:dyDescent="0.25">
      <c r="A356" s="92"/>
      <c r="B356" s="1" t="s">
        <v>244</v>
      </c>
      <c r="C356" s="1" t="s">
        <v>4</v>
      </c>
      <c r="D356" s="1">
        <v>1</v>
      </c>
    </row>
    <row r="357" spans="1:4" x14ac:dyDescent="0.25">
      <c r="A357" s="92"/>
      <c r="B357" s="1" t="s">
        <v>10</v>
      </c>
      <c r="C357" s="1" t="s">
        <v>62</v>
      </c>
      <c r="D357" s="1">
        <v>0.9</v>
      </c>
    </row>
    <row r="358" spans="1:4" x14ac:dyDescent="0.25">
      <c r="A358" s="93"/>
      <c r="B358" s="1" t="s">
        <v>168</v>
      </c>
      <c r="C358" s="1" t="s">
        <v>4</v>
      </c>
      <c r="D358" s="1">
        <v>0.36</v>
      </c>
    </row>
    <row r="359" spans="1:4" x14ac:dyDescent="0.25">
      <c r="A359" s="52"/>
      <c r="B359" s="53"/>
      <c r="C359" s="54"/>
      <c r="D359" s="5">
        <f>SUM(D356:D358)</f>
        <v>2.2599999999999998</v>
      </c>
    </row>
    <row r="362" spans="1:4" x14ac:dyDescent="0.25">
      <c r="A362" s="91" t="s">
        <v>73</v>
      </c>
      <c r="B362" s="1" t="s">
        <v>0</v>
      </c>
      <c r="C362" s="1" t="s">
        <v>26</v>
      </c>
      <c r="D362" s="1" t="s">
        <v>2</v>
      </c>
    </row>
    <row r="363" spans="1:4" x14ac:dyDescent="0.25">
      <c r="A363" s="92"/>
      <c r="B363" s="1" t="s">
        <v>210</v>
      </c>
      <c r="C363" s="1" t="s">
        <v>9</v>
      </c>
      <c r="D363" s="1">
        <v>0.85799999999999998</v>
      </c>
    </row>
    <row r="364" spans="1:4" x14ac:dyDescent="0.25">
      <c r="A364" s="92"/>
      <c r="B364" s="1" t="s">
        <v>152</v>
      </c>
      <c r="C364" s="1" t="s">
        <v>17</v>
      </c>
      <c r="D364" s="1">
        <v>0.4</v>
      </c>
    </row>
    <row r="365" spans="1:4" x14ac:dyDescent="0.25">
      <c r="A365" s="92"/>
      <c r="B365" s="1" t="s">
        <v>74</v>
      </c>
      <c r="C365" s="1" t="s">
        <v>16</v>
      </c>
      <c r="D365" s="1">
        <v>0.24</v>
      </c>
    </row>
    <row r="366" spans="1:4" x14ac:dyDescent="0.25">
      <c r="A366" s="92"/>
      <c r="B366" s="1" t="s">
        <v>170</v>
      </c>
      <c r="C366" s="1" t="s">
        <v>16</v>
      </c>
      <c r="D366" s="1">
        <v>0.5</v>
      </c>
    </row>
    <row r="367" spans="1:4" x14ac:dyDescent="0.25">
      <c r="A367" s="92"/>
      <c r="B367" s="1" t="s">
        <v>245</v>
      </c>
      <c r="C367" s="1" t="s">
        <v>16</v>
      </c>
      <c r="D367" s="1">
        <v>0.12</v>
      </c>
    </row>
    <row r="368" spans="1:4" x14ac:dyDescent="0.25">
      <c r="A368" s="92"/>
      <c r="B368" s="1" t="s">
        <v>246</v>
      </c>
      <c r="C368" s="1" t="s">
        <v>169</v>
      </c>
      <c r="D368" s="1">
        <v>0.85</v>
      </c>
    </row>
    <row r="369" spans="1:4" x14ac:dyDescent="0.25">
      <c r="A369" s="92"/>
      <c r="B369" s="1" t="s">
        <v>85</v>
      </c>
      <c r="C369" s="1" t="s">
        <v>21</v>
      </c>
      <c r="D369" s="1">
        <v>1.61</v>
      </c>
    </row>
    <row r="370" spans="1:4" x14ac:dyDescent="0.25">
      <c r="A370" s="71"/>
      <c r="B370" s="71"/>
      <c r="C370" s="71"/>
      <c r="D370" s="5">
        <f>SUM(D363:D369)</f>
        <v>4.5780000000000003</v>
      </c>
    </row>
  </sheetData>
  <mergeCells count="97">
    <mergeCell ref="A370:C370"/>
    <mergeCell ref="A345:C345"/>
    <mergeCell ref="A347:A352"/>
    <mergeCell ref="A353:C353"/>
    <mergeCell ref="A355:A358"/>
    <mergeCell ref="A359:C359"/>
    <mergeCell ref="A362:A369"/>
    <mergeCell ref="A339:A344"/>
    <mergeCell ref="A283:D283"/>
    <mergeCell ref="A289:A294"/>
    <mergeCell ref="A295:C295"/>
    <mergeCell ref="A298:A305"/>
    <mergeCell ref="A306:C306"/>
    <mergeCell ref="A308:A313"/>
    <mergeCell ref="A314:C314"/>
    <mergeCell ref="A317:A322"/>
    <mergeCell ref="A323:C323"/>
    <mergeCell ref="A326:A332"/>
    <mergeCell ref="A333:C333"/>
    <mergeCell ref="E271:E282"/>
    <mergeCell ref="A282:C282"/>
    <mergeCell ref="A231:A235"/>
    <mergeCell ref="A236:C236"/>
    <mergeCell ref="A239:A243"/>
    <mergeCell ref="A244:C244"/>
    <mergeCell ref="A247:A251"/>
    <mergeCell ref="A252:C252"/>
    <mergeCell ref="A254:A260"/>
    <mergeCell ref="A261:C261"/>
    <mergeCell ref="A263:A268"/>
    <mergeCell ref="A269:C269"/>
    <mergeCell ref="A271:A281"/>
    <mergeCell ref="A229:C229"/>
    <mergeCell ref="A162:D162"/>
    <mergeCell ref="A164:A171"/>
    <mergeCell ref="A174:A181"/>
    <mergeCell ref="A189:A195"/>
    <mergeCell ref="A198:A204"/>
    <mergeCell ref="A205:C205"/>
    <mergeCell ref="A207:A213"/>
    <mergeCell ref="A214:C214"/>
    <mergeCell ref="A216:A220"/>
    <mergeCell ref="A221:C221"/>
    <mergeCell ref="A223:A228"/>
    <mergeCell ref="A136:C136"/>
    <mergeCell ref="D136:E136"/>
    <mergeCell ref="A139:A161"/>
    <mergeCell ref="B139:B153"/>
    <mergeCell ref="B154:D154"/>
    <mergeCell ref="B156:B160"/>
    <mergeCell ref="B161:D161"/>
    <mergeCell ref="A128:D128"/>
    <mergeCell ref="A130:A135"/>
    <mergeCell ref="D130:E130"/>
    <mergeCell ref="D131:E131"/>
    <mergeCell ref="D132:E132"/>
    <mergeCell ref="D133:E133"/>
    <mergeCell ref="D134:E134"/>
    <mergeCell ref="D135:E135"/>
    <mergeCell ref="A108:C108"/>
    <mergeCell ref="A109:D109"/>
    <mergeCell ref="A111:A127"/>
    <mergeCell ref="B111:B121"/>
    <mergeCell ref="B122:D122"/>
    <mergeCell ref="B124:B126"/>
    <mergeCell ref="B127:D127"/>
    <mergeCell ref="A83:D83"/>
    <mergeCell ref="A84:D84"/>
    <mergeCell ref="A89:A107"/>
    <mergeCell ref="B89:B92"/>
    <mergeCell ref="B93:D93"/>
    <mergeCell ref="B95:B102"/>
    <mergeCell ref="B103:D103"/>
    <mergeCell ref="B104:B107"/>
    <mergeCell ref="A70:D71"/>
    <mergeCell ref="E70:F71"/>
    <mergeCell ref="A73:A82"/>
    <mergeCell ref="B73:B77"/>
    <mergeCell ref="B78:D78"/>
    <mergeCell ref="B79:B82"/>
    <mergeCell ref="H18:H20"/>
    <mergeCell ref="I18:I20"/>
    <mergeCell ref="C28:E28"/>
    <mergeCell ref="C29:C35"/>
    <mergeCell ref="B36:E36"/>
    <mergeCell ref="B38:B62"/>
    <mergeCell ref="C38:C62"/>
    <mergeCell ref="B1:F1"/>
    <mergeCell ref="A2:A69"/>
    <mergeCell ref="B2:B35"/>
    <mergeCell ref="C2:C8"/>
    <mergeCell ref="C9:E9"/>
    <mergeCell ref="C10:C27"/>
    <mergeCell ref="B63:E63"/>
    <mergeCell ref="B64:B69"/>
    <mergeCell ref="C64:C68"/>
    <mergeCell ref="C69:E69"/>
  </mergeCells>
  <pageMargins left="0.7" right="0.7" top="0.75" bottom="0.75" header="0.3" footer="0.3"/>
  <pageSetup paperSize="9" scale="70" orientation="portrait" horizontalDpi="360" verticalDpi="360" r:id="rId1"/>
  <rowBreaks count="2" manualBreakCount="2">
    <brk id="71" max="16383" man="1"/>
    <brk id="137" max="16383" man="1"/>
  </rowBreaks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5E56-7284-419F-96C9-9B8BF0F52542}">
  <dimension ref="A2:N15"/>
  <sheetViews>
    <sheetView zoomScale="106" zoomScaleNormal="106" workbookViewId="0">
      <selection activeCell="C10" sqref="C10"/>
    </sheetView>
  </sheetViews>
  <sheetFormatPr baseColWidth="10" defaultRowHeight="15" x14ac:dyDescent="0.25"/>
  <cols>
    <col min="1" max="1" width="13.42578125" customWidth="1"/>
    <col min="2" max="2" width="19.140625" customWidth="1"/>
    <col min="3" max="3" width="15" customWidth="1"/>
    <col min="4" max="4" width="18.5703125" bestFit="1" customWidth="1"/>
    <col min="7" max="7" width="11.42578125" style="16"/>
    <col min="8" max="8" width="18.5703125" bestFit="1" customWidth="1"/>
    <col min="9" max="9" width="20.7109375" customWidth="1"/>
    <col min="10" max="10" width="18.5703125" customWidth="1"/>
    <col min="14" max="14" width="13.42578125" customWidth="1"/>
    <col min="15" max="15" width="19.85546875" customWidth="1"/>
    <col min="16" max="16" width="14" customWidth="1"/>
  </cols>
  <sheetData>
    <row r="2" spans="1:14" s="16" customFormat="1" x14ac:dyDescent="0.25">
      <c r="A2" s="68" t="s">
        <v>130</v>
      </c>
      <c r="B2" s="69" t="s">
        <v>127</v>
      </c>
      <c r="C2" s="1" t="s">
        <v>0</v>
      </c>
      <c r="D2" s="1" t="s">
        <v>126</v>
      </c>
      <c r="E2" s="1" t="s">
        <v>2</v>
      </c>
      <c r="F2"/>
      <c r="H2"/>
      <c r="I2"/>
      <c r="J2"/>
      <c r="K2"/>
      <c r="L2"/>
      <c r="M2"/>
      <c r="N2"/>
    </row>
    <row r="3" spans="1:14" s="16" customFormat="1" x14ac:dyDescent="0.25">
      <c r="A3" s="68"/>
      <c r="B3" s="69"/>
      <c r="C3" s="1" t="s">
        <v>122</v>
      </c>
      <c r="D3" s="1" t="s">
        <v>9</v>
      </c>
      <c r="E3" s="1">
        <v>0.5</v>
      </c>
      <c r="F3"/>
      <c r="H3"/>
      <c r="I3"/>
      <c r="J3"/>
      <c r="K3"/>
      <c r="L3"/>
      <c r="M3"/>
      <c r="N3"/>
    </row>
    <row r="4" spans="1:14" s="16" customFormat="1" x14ac:dyDescent="0.25">
      <c r="A4" s="68"/>
      <c r="B4" s="69"/>
      <c r="C4" s="1" t="s">
        <v>123</v>
      </c>
      <c r="D4" s="1" t="s">
        <v>9</v>
      </c>
      <c r="E4" s="1">
        <v>1</v>
      </c>
      <c r="F4"/>
      <c r="H4"/>
      <c r="I4"/>
      <c r="J4"/>
      <c r="K4"/>
      <c r="L4"/>
      <c r="M4"/>
      <c r="N4"/>
    </row>
    <row r="5" spans="1:14" s="16" customFormat="1" x14ac:dyDescent="0.25">
      <c r="A5" s="68"/>
      <c r="B5" s="69"/>
      <c r="C5" s="1" t="s">
        <v>124</v>
      </c>
      <c r="D5" s="1" t="s">
        <v>9</v>
      </c>
      <c r="E5" s="1">
        <v>3.3050000000000002</v>
      </c>
      <c r="F5"/>
      <c r="H5"/>
      <c r="I5"/>
      <c r="J5"/>
      <c r="K5"/>
      <c r="L5"/>
      <c r="M5"/>
      <c r="N5"/>
    </row>
    <row r="6" spans="1:14" s="16" customFormat="1" x14ac:dyDescent="0.25">
      <c r="A6" s="68"/>
      <c r="B6" s="69"/>
      <c r="C6" s="30" t="s">
        <v>129</v>
      </c>
      <c r="D6" s="1" t="s">
        <v>9</v>
      </c>
      <c r="E6" s="1">
        <v>0.45800000000000002</v>
      </c>
      <c r="F6"/>
      <c r="H6"/>
      <c r="I6"/>
      <c r="J6"/>
      <c r="K6"/>
      <c r="L6"/>
      <c r="M6"/>
      <c r="N6"/>
    </row>
    <row r="7" spans="1:14" s="16" customFormat="1" ht="15" customHeight="1" x14ac:dyDescent="0.25">
      <c r="A7" s="68"/>
      <c r="B7" s="52" t="s">
        <v>25</v>
      </c>
      <c r="C7" s="53"/>
      <c r="D7" s="54"/>
      <c r="E7" s="5">
        <f>SUM(E3:E6)</f>
        <v>5.2629999999999999</v>
      </c>
      <c r="F7"/>
      <c r="H7"/>
      <c r="I7"/>
      <c r="J7"/>
      <c r="K7"/>
      <c r="L7"/>
      <c r="M7"/>
      <c r="N7"/>
    </row>
    <row r="8" spans="1:14" s="16" customFormat="1" x14ac:dyDescent="0.25">
      <c r="A8" s="68"/>
      <c r="B8" s="70" t="s">
        <v>120</v>
      </c>
      <c r="C8" s="1" t="s">
        <v>30</v>
      </c>
      <c r="D8" s="1" t="s">
        <v>58</v>
      </c>
      <c r="E8" s="1">
        <v>1.62</v>
      </c>
      <c r="F8"/>
      <c r="H8"/>
      <c r="I8"/>
      <c r="J8"/>
      <c r="K8"/>
      <c r="L8"/>
      <c r="M8"/>
      <c r="N8"/>
    </row>
    <row r="9" spans="1:14" s="16" customFormat="1" x14ac:dyDescent="0.25">
      <c r="A9" s="68"/>
      <c r="B9" s="70"/>
      <c r="C9" s="30" t="s">
        <v>171</v>
      </c>
      <c r="D9" s="1" t="s">
        <v>9</v>
      </c>
      <c r="E9" s="1">
        <v>5.82</v>
      </c>
      <c r="F9"/>
      <c r="H9"/>
      <c r="I9"/>
      <c r="J9"/>
      <c r="K9"/>
      <c r="L9"/>
      <c r="M9"/>
      <c r="N9"/>
    </row>
    <row r="10" spans="1:14" x14ac:dyDescent="0.25">
      <c r="A10" s="68"/>
      <c r="B10" s="70"/>
      <c r="C10" s="1" t="s">
        <v>234</v>
      </c>
      <c r="D10" s="1" t="s">
        <v>9</v>
      </c>
      <c r="E10" s="1">
        <v>9.8000000000000007</v>
      </c>
    </row>
    <row r="11" spans="1:14" x14ac:dyDescent="0.25">
      <c r="A11" s="68"/>
      <c r="B11" s="70"/>
      <c r="C11" s="30" t="s">
        <v>128</v>
      </c>
      <c r="D11" s="1" t="s">
        <v>104</v>
      </c>
      <c r="E11" s="1">
        <v>1.44</v>
      </c>
    </row>
    <row r="12" spans="1:14" x14ac:dyDescent="0.25">
      <c r="A12" s="71" t="s">
        <v>25</v>
      </c>
      <c r="B12" s="71"/>
      <c r="C12" s="71"/>
      <c r="D12" s="71"/>
      <c r="E12" s="5">
        <f>SUM(E8:E11)</f>
        <v>18.680000000000003</v>
      </c>
    </row>
    <row r="13" spans="1:14" x14ac:dyDescent="0.25">
      <c r="A13" s="72"/>
      <c r="B13" s="72"/>
      <c r="C13" s="72"/>
      <c r="D13" s="72"/>
      <c r="E13" s="5">
        <f>E7+E12</f>
        <v>23.943000000000005</v>
      </c>
    </row>
    <row r="15" spans="1:14" ht="15" customHeight="1" x14ac:dyDescent="0.25"/>
  </sheetData>
  <mergeCells count="6">
    <mergeCell ref="A12:D12"/>
    <mergeCell ref="A13:D13"/>
    <mergeCell ref="A2:A11"/>
    <mergeCell ref="B2:B6"/>
    <mergeCell ref="B7:D7"/>
    <mergeCell ref="B8:B1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1491-C8EC-492C-877E-F0869D8E9E1A}">
  <dimension ref="A3:N24"/>
  <sheetViews>
    <sheetView zoomScale="106" zoomScaleNormal="106" workbookViewId="0">
      <selection activeCell="F15" sqref="F15"/>
    </sheetView>
  </sheetViews>
  <sheetFormatPr baseColWidth="10" defaultRowHeight="15" x14ac:dyDescent="0.25"/>
  <cols>
    <col min="1" max="1" width="13.42578125" customWidth="1"/>
    <col min="2" max="2" width="19.140625" customWidth="1"/>
    <col min="3" max="3" width="15" customWidth="1"/>
    <col min="4" max="4" width="18.5703125" bestFit="1" customWidth="1"/>
    <col min="7" max="7" width="11.42578125" style="16"/>
    <col min="8" max="8" width="18.5703125" bestFit="1" customWidth="1"/>
    <col min="9" max="9" width="20.7109375" customWidth="1"/>
    <col min="10" max="10" width="18.5703125" customWidth="1"/>
    <col min="14" max="14" width="13.42578125" customWidth="1"/>
    <col min="15" max="15" width="19.85546875" customWidth="1"/>
    <col min="16" max="16" width="14" customWidth="1"/>
  </cols>
  <sheetData>
    <row r="3" spans="1:14" x14ac:dyDescent="0.25">
      <c r="A3" s="68" t="s">
        <v>140</v>
      </c>
      <c r="B3" s="69" t="s">
        <v>127</v>
      </c>
      <c r="C3" s="1" t="s">
        <v>0</v>
      </c>
      <c r="D3" s="1" t="s">
        <v>126</v>
      </c>
      <c r="E3" s="1" t="s">
        <v>2</v>
      </c>
    </row>
    <row r="4" spans="1:14" x14ac:dyDescent="0.25">
      <c r="A4" s="68"/>
      <c r="B4" s="69"/>
      <c r="C4" s="1" t="s">
        <v>122</v>
      </c>
      <c r="D4" s="1" t="s">
        <v>23</v>
      </c>
      <c r="E4" s="1">
        <v>0.5</v>
      </c>
    </row>
    <row r="5" spans="1:14" x14ac:dyDescent="0.25">
      <c r="A5" s="68"/>
      <c r="B5" s="69"/>
      <c r="C5" s="1" t="s">
        <v>123</v>
      </c>
      <c r="D5" s="1" t="s">
        <v>23</v>
      </c>
      <c r="E5" s="1">
        <v>1</v>
      </c>
    </row>
    <row r="6" spans="1:14" x14ac:dyDescent="0.25">
      <c r="A6" s="68"/>
      <c r="B6" s="69"/>
      <c r="C6" s="1" t="s">
        <v>129</v>
      </c>
      <c r="D6" s="1" t="s">
        <v>23</v>
      </c>
      <c r="E6" s="1">
        <v>0.45800000000000002</v>
      </c>
    </row>
    <row r="7" spans="1:14" x14ac:dyDescent="0.25">
      <c r="A7" s="68"/>
      <c r="B7" s="52" t="s">
        <v>25</v>
      </c>
      <c r="C7" s="53"/>
      <c r="D7" s="54"/>
      <c r="E7" s="5">
        <f>SUM(E4:E6)</f>
        <v>1.958</v>
      </c>
    </row>
    <row r="8" spans="1:14" x14ac:dyDescent="0.25">
      <c r="A8" s="68"/>
      <c r="B8" s="1"/>
      <c r="C8" s="1"/>
      <c r="D8" s="1"/>
      <c r="E8" s="1"/>
    </row>
    <row r="9" spans="1:14" x14ac:dyDescent="0.25">
      <c r="A9" s="68"/>
      <c r="B9" s="56" t="s">
        <v>136</v>
      </c>
      <c r="C9" s="1" t="s">
        <v>131</v>
      </c>
      <c r="D9" s="1" t="s">
        <v>7</v>
      </c>
      <c r="E9" s="1">
        <v>2.4750000000000001</v>
      </c>
    </row>
    <row r="10" spans="1:14" x14ac:dyDescent="0.25">
      <c r="A10" s="68"/>
      <c r="B10" s="57"/>
      <c r="C10" s="1" t="s">
        <v>132</v>
      </c>
      <c r="D10" s="1" t="s">
        <v>17</v>
      </c>
      <c r="E10" s="1">
        <v>1</v>
      </c>
    </row>
    <row r="11" spans="1:14" s="16" customFormat="1" ht="15" customHeight="1" x14ac:dyDescent="0.25">
      <c r="A11" s="68"/>
      <c r="B11" s="57"/>
      <c r="C11" s="1" t="s">
        <v>10</v>
      </c>
      <c r="D11" s="1" t="s">
        <v>9</v>
      </c>
      <c r="E11" s="1">
        <v>0.25</v>
      </c>
      <c r="F11"/>
      <c r="H11"/>
      <c r="I11"/>
      <c r="J11"/>
      <c r="K11"/>
      <c r="L11"/>
      <c r="M11"/>
      <c r="N11"/>
    </row>
    <row r="12" spans="1:14" s="16" customFormat="1" x14ac:dyDescent="0.25">
      <c r="A12" s="68"/>
      <c r="B12" s="57"/>
      <c r="C12" s="1" t="s">
        <v>95</v>
      </c>
      <c r="D12" s="1" t="s">
        <v>83</v>
      </c>
      <c r="E12" s="1">
        <v>0.63800000000000001</v>
      </c>
      <c r="F12"/>
      <c r="H12"/>
      <c r="I12"/>
      <c r="J12"/>
      <c r="K12"/>
      <c r="L12"/>
      <c r="M12"/>
      <c r="N12"/>
    </row>
    <row r="13" spans="1:14" s="16" customFormat="1" x14ac:dyDescent="0.25">
      <c r="A13" s="68"/>
      <c r="B13" s="57"/>
      <c r="C13" s="1" t="s">
        <v>96</v>
      </c>
      <c r="D13" s="1" t="s">
        <v>6</v>
      </c>
      <c r="E13" s="1">
        <v>0.3</v>
      </c>
      <c r="F13"/>
      <c r="H13"/>
      <c r="I13"/>
      <c r="J13"/>
      <c r="K13"/>
      <c r="L13"/>
      <c r="M13"/>
      <c r="N13"/>
    </row>
    <row r="14" spans="1:14" s="16" customFormat="1" x14ac:dyDescent="0.25">
      <c r="A14" s="68"/>
      <c r="B14" s="57"/>
      <c r="C14" s="1" t="s">
        <v>133</v>
      </c>
      <c r="D14" s="1" t="s">
        <v>9</v>
      </c>
      <c r="E14" s="1">
        <v>0.8</v>
      </c>
      <c r="F14"/>
      <c r="H14"/>
      <c r="I14"/>
      <c r="J14"/>
      <c r="K14"/>
      <c r="L14"/>
      <c r="M14"/>
      <c r="N14"/>
    </row>
    <row r="15" spans="1:14" s="16" customFormat="1" x14ac:dyDescent="0.25">
      <c r="A15" s="68"/>
      <c r="B15" s="57"/>
      <c r="C15" s="1" t="s">
        <v>146</v>
      </c>
      <c r="D15" s="1" t="s">
        <v>9</v>
      </c>
      <c r="E15" s="1">
        <v>1.0389999999999999</v>
      </c>
      <c r="F15"/>
      <c r="H15"/>
      <c r="I15"/>
      <c r="J15"/>
      <c r="K15"/>
      <c r="L15"/>
      <c r="M15"/>
      <c r="N15"/>
    </row>
    <row r="16" spans="1:14" s="16" customFormat="1" x14ac:dyDescent="0.25">
      <c r="A16" s="68"/>
      <c r="B16" s="58"/>
      <c r="C16" s="1" t="s">
        <v>134</v>
      </c>
      <c r="D16" s="1" t="s">
        <v>137</v>
      </c>
      <c r="E16" s="1">
        <v>0.25</v>
      </c>
      <c r="F16"/>
      <c r="H16"/>
      <c r="I16"/>
      <c r="J16"/>
      <c r="K16"/>
      <c r="L16"/>
      <c r="M16"/>
      <c r="N16"/>
    </row>
    <row r="17" spans="1:14" s="16" customFormat="1" x14ac:dyDescent="0.25">
      <c r="A17" s="68"/>
      <c r="B17" s="52" t="s">
        <v>25</v>
      </c>
      <c r="C17" s="53"/>
      <c r="D17" s="54"/>
      <c r="E17" s="5">
        <f>SUM(E9:E16)</f>
        <v>6.7519999999999998</v>
      </c>
      <c r="F17"/>
      <c r="H17"/>
      <c r="I17"/>
      <c r="J17"/>
      <c r="K17"/>
      <c r="L17"/>
      <c r="M17"/>
      <c r="N17"/>
    </row>
    <row r="18" spans="1:14" s="16" customFormat="1" x14ac:dyDescent="0.25">
      <c r="A18" s="68"/>
      <c r="B18" s="69" t="s">
        <v>120</v>
      </c>
      <c r="C18" s="1" t="s">
        <v>135</v>
      </c>
      <c r="D18" s="1" t="s">
        <v>104</v>
      </c>
      <c r="E18" s="1">
        <v>1.98</v>
      </c>
      <c r="F18"/>
      <c r="H18"/>
      <c r="I18"/>
      <c r="J18"/>
      <c r="K18"/>
      <c r="L18"/>
      <c r="M18"/>
      <c r="N18"/>
    </row>
    <row r="19" spans="1:14" s="16" customFormat="1" x14ac:dyDescent="0.25">
      <c r="A19" s="68"/>
      <c r="B19" s="69"/>
      <c r="C19" s="1" t="s">
        <v>13</v>
      </c>
      <c r="D19" s="1" t="s">
        <v>6</v>
      </c>
      <c r="E19" s="1">
        <v>2</v>
      </c>
      <c r="F19"/>
      <c r="H19"/>
      <c r="I19"/>
      <c r="J19"/>
      <c r="K19"/>
      <c r="L19"/>
      <c r="M19"/>
      <c r="N19"/>
    </row>
    <row r="20" spans="1:14" s="16" customFormat="1" x14ac:dyDescent="0.25">
      <c r="A20" s="68"/>
      <c r="B20" s="69"/>
      <c r="C20" s="1" t="s">
        <v>138</v>
      </c>
      <c r="D20" s="1" t="s">
        <v>17</v>
      </c>
      <c r="E20" s="1">
        <v>0.22</v>
      </c>
      <c r="F20"/>
      <c r="H20"/>
      <c r="I20"/>
      <c r="J20"/>
      <c r="K20"/>
      <c r="L20"/>
      <c r="M20"/>
      <c r="N20"/>
    </row>
    <row r="21" spans="1:14" s="16" customFormat="1" x14ac:dyDescent="0.25">
      <c r="A21" s="68"/>
      <c r="B21" s="69"/>
      <c r="C21" s="1" t="s">
        <v>139</v>
      </c>
      <c r="D21" s="1" t="s">
        <v>17</v>
      </c>
      <c r="E21" s="1">
        <v>0.36</v>
      </c>
      <c r="F21"/>
      <c r="H21"/>
      <c r="I21"/>
      <c r="J21"/>
      <c r="K21"/>
      <c r="L21"/>
      <c r="M21"/>
      <c r="N21"/>
    </row>
    <row r="22" spans="1:14" s="16" customFormat="1" x14ac:dyDescent="0.25">
      <c r="A22" s="71" t="s">
        <v>25</v>
      </c>
      <c r="B22" s="71"/>
      <c r="C22" s="71"/>
      <c r="D22" s="5"/>
      <c r="E22" s="5">
        <f>SUM(E18:E21)</f>
        <v>4.5600000000000005</v>
      </c>
      <c r="F22"/>
      <c r="H22"/>
      <c r="I22"/>
      <c r="J22"/>
      <c r="K22"/>
      <c r="L22"/>
      <c r="M22"/>
      <c r="N22"/>
    </row>
    <row r="23" spans="1:14" s="16" customFormat="1" ht="15" customHeight="1" x14ac:dyDescent="0.25">
      <c r="A23" s="72" t="s">
        <v>29</v>
      </c>
      <c r="B23" s="72"/>
      <c r="C23" s="72"/>
      <c r="D23" s="72"/>
      <c r="E23" s="5">
        <f>E7+E17+E22</f>
        <v>13.27</v>
      </c>
      <c r="F23"/>
      <c r="H23"/>
      <c r="I23"/>
      <c r="J23"/>
      <c r="K23"/>
      <c r="L23"/>
      <c r="M23"/>
      <c r="N23"/>
    </row>
    <row r="24" spans="1:14" s="16" customFormat="1" ht="15" customHeight="1" x14ac:dyDescent="0.25">
      <c r="A24"/>
      <c r="B24"/>
      <c r="C24"/>
      <c r="D24"/>
      <c r="E24"/>
      <c r="F24"/>
      <c r="H24"/>
      <c r="I24"/>
      <c r="J24"/>
      <c r="K24"/>
      <c r="L24"/>
      <c r="M24"/>
      <c r="N24"/>
    </row>
  </sheetData>
  <mergeCells count="8">
    <mergeCell ref="A22:C22"/>
    <mergeCell ref="A23:D23"/>
    <mergeCell ref="A3:A21"/>
    <mergeCell ref="B3:B6"/>
    <mergeCell ref="B7:D7"/>
    <mergeCell ref="B9:B16"/>
    <mergeCell ref="B17:D17"/>
    <mergeCell ref="B18:B21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D367-23BC-43BD-AB7F-B4CE98BFF5B0}">
  <dimension ref="A1:N19"/>
  <sheetViews>
    <sheetView zoomScale="106" zoomScaleNormal="106" workbookViewId="0">
      <selection activeCell="E8" sqref="E8"/>
    </sheetView>
  </sheetViews>
  <sheetFormatPr baseColWidth="10" defaultRowHeight="15" x14ac:dyDescent="0.25"/>
  <cols>
    <col min="1" max="1" width="13.42578125" customWidth="1"/>
    <col min="2" max="2" width="19.140625" customWidth="1"/>
    <col min="3" max="3" width="15" customWidth="1"/>
    <col min="4" max="4" width="18.5703125" bestFit="1" customWidth="1"/>
    <col min="7" max="7" width="11.42578125" style="16"/>
    <col min="8" max="8" width="18.5703125" bestFit="1" customWidth="1"/>
    <col min="9" max="9" width="20.7109375" customWidth="1"/>
    <col min="10" max="10" width="18.5703125" customWidth="1"/>
    <col min="14" max="14" width="13.42578125" customWidth="1"/>
    <col min="15" max="15" width="19.85546875" customWidth="1"/>
    <col min="16" max="16" width="14" customWidth="1"/>
  </cols>
  <sheetData>
    <row r="1" spans="1:14" s="16" customFormat="1" ht="15" customHeight="1" x14ac:dyDescent="0.25">
      <c r="A1"/>
      <c r="B1"/>
      <c r="C1"/>
      <c r="D1"/>
      <c r="E1"/>
      <c r="F1"/>
      <c r="H1"/>
      <c r="I1"/>
      <c r="J1"/>
      <c r="K1"/>
      <c r="L1"/>
      <c r="M1"/>
      <c r="N1"/>
    </row>
    <row r="2" spans="1:14" s="16" customFormat="1" x14ac:dyDescent="0.25">
      <c r="A2" s="68" t="s">
        <v>154</v>
      </c>
      <c r="B2" s="56" t="s">
        <v>136</v>
      </c>
      <c r="C2" s="1" t="s">
        <v>147</v>
      </c>
      <c r="D2" s="1" t="s">
        <v>21</v>
      </c>
      <c r="E2" s="1" t="s">
        <v>2</v>
      </c>
      <c r="F2"/>
      <c r="H2"/>
      <c r="I2"/>
      <c r="J2"/>
      <c r="K2"/>
      <c r="L2"/>
      <c r="M2"/>
      <c r="N2"/>
    </row>
    <row r="3" spans="1:14" s="16" customFormat="1" ht="15" customHeight="1" x14ac:dyDescent="0.25">
      <c r="A3" s="68"/>
      <c r="B3" s="57"/>
      <c r="C3" s="1" t="s">
        <v>148</v>
      </c>
      <c r="D3" s="1" t="s">
        <v>9</v>
      </c>
      <c r="E3" s="1">
        <v>0.3</v>
      </c>
      <c r="F3">
        <v>0.25</v>
      </c>
      <c r="H3"/>
      <c r="I3"/>
      <c r="J3"/>
      <c r="K3"/>
      <c r="L3"/>
      <c r="M3"/>
      <c r="N3"/>
    </row>
    <row r="4" spans="1:14" x14ac:dyDescent="0.25">
      <c r="A4" s="68"/>
      <c r="B4" s="57"/>
      <c r="C4" s="1" t="s">
        <v>149</v>
      </c>
      <c r="D4" s="1" t="s">
        <v>6</v>
      </c>
      <c r="E4" s="1">
        <v>0.36</v>
      </c>
    </row>
    <row r="5" spans="1:14" x14ac:dyDescent="0.25">
      <c r="A5" s="68"/>
      <c r="B5" s="57"/>
      <c r="C5" s="1" t="s">
        <v>150</v>
      </c>
      <c r="D5" s="1" t="s">
        <v>151</v>
      </c>
      <c r="E5" s="1">
        <v>3.06</v>
      </c>
    </row>
    <row r="6" spans="1:14" x14ac:dyDescent="0.25">
      <c r="A6" s="68"/>
      <c r="B6" s="57"/>
      <c r="C6" s="1" t="s">
        <v>55</v>
      </c>
      <c r="D6" s="1" t="s">
        <v>7</v>
      </c>
      <c r="E6" s="1">
        <v>1</v>
      </c>
    </row>
    <row r="7" spans="1:14" x14ac:dyDescent="0.25">
      <c r="A7" s="68"/>
      <c r="B7" s="57"/>
      <c r="C7" s="1" t="s">
        <v>152</v>
      </c>
      <c r="D7" s="1" t="s">
        <v>7</v>
      </c>
      <c r="E7" s="1">
        <v>0.45</v>
      </c>
    </row>
    <row r="8" spans="1:14" x14ac:dyDescent="0.25">
      <c r="A8" s="68"/>
      <c r="B8" s="57"/>
      <c r="C8" s="30" t="s">
        <v>132</v>
      </c>
      <c r="D8" s="1" t="s">
        <v>17</v>
      </c>
      <c r="E8" s="1">
        <v>0.1</v>
      </c>
    </row>
    <row r="9" spans="1:14" x14ac:dyDescent="0.25">
      <c r="A9" s="68"/>
      <c r="B9" s="57"/>
      <c r="C9" s="1" t="s">
        <v>200</v>
      </c>
      <c r="D9" s="1" t="s">
        <v>9</v>
      </c>
      <c r="E9" s="1">
        <v>1</v>
      </c>
    </row>
    <row r="10" spans="1:14" x14ac:dyDescent="0.25">
      <c r="A10" s="68"/>
      <c r="B10" s="57"/>
      <c r="C10" s="1" t="s">
        <v>248</v>
      </c>
      <c r="D10" s="1" t="s">
        <v>3</v>
      </c>
      <c r="E10" s="1">
        <v>0.7</v>
      </c>
    </row>
    <row r="11" spans="1:14" x14ac:dyDescent="0.25">
      <c r="A11" s="68"/>
      <c r="B11" s="57"/>
      <c r="C11" s="1" t="s">
        <v>191</v>
      </c>
      <c r="D11" s="1" t="s">
        <v>12</v>
      </c>
      <c r="E11" s="1">
        <v>0.23</v>
      </c>
    </row>
    <row r="12" spans="1:14" ht="15" customHeight="1" x14ac:dyDescent="0.25">
      <c r="A12" s="68"/>
      <c r="B12" s="57"/>
      <c r="C12" s="1" t="s">
        <v>153</v>
      </c>
      <c r="D12" s="1" t="s">
        <v>9</v>
      </c>
      <c r="E12" s="1">
        <v>0.85799999999999998</v>
      </c>
    </row>
    <row r="13" spans="1:14" x14ac:dyDescent="0.25">
      <c r="A13" s="68"/>
      <c r="B13" s="52" t="s">
        <v>25</v>
      </c>
      <c r="C13" s="53"/>
      <c r="D13" s="54"/>
      <c r="E13" s="5">
        <f>SUM(E3:E12)</f>
        <v>8.0579999999999998</v>
      </c>
    </row>
    <row r="14" spans="1:14" x14ac:dyDescent="0.25">
      <c r="A14" s="68"/>
    </row>
    <row r="15" spans="1:14" x14ac:dyDescent="0.25">
      <c r="A15" s="68"/>
      <c r="B15" s="56" t="s">
        <v>127</v>
      </c>
      <c r="C15" s="1" t="s">
        <v>0</v>
      </c>
      <c r="D15" s="1" t="s">
        <v>126</v>
      </c>
      <c r="E15" s="1" t="s">
        <v>2</v>
      </c>
    </row>
    <row r="16" spans="1:14" ht="15" customHeight="1" x14ac:dyDescent="0.25">
      <c r="A16" s="68"/>
      <c r="B16" s="57"/>
      <c r="C16" s="1" t="s">
        <v>122</v>
      </c>
      <c r="D16" s="1" t="s">
        <v>23</v>
      </c>
      <c r="E16" s="1">
        <v>0.51</v>
      </c>
    </row>
    <row r="17" spans="1:5" x14ac:dyDescent="0.25">
      <c r="A17" s="68"/>
      <c r="B17" s="58"/>
      <c r="C17" s="1" t="s">
        <v>155</v>
      </c>
      <c r="D17" s="1" t="s">
        <v>23</v>
      </c>
      <c r="E17" s="1">
        <v>0.45500000000000002</v>
      </c>
    </row>
    <row r="18" spans="1:5" x14ac:dyDescent="0.25">
      <c r="A18" s="73"/>
      <c r="B18" s="74" t="s">
        <v>25</v>
      </c>
      <c r="C18" s="75"/>
      <c r="D18" s="76"/>
      <c r="E18" s="14">
        <f>SUM(E16:E17)</f>
        <v>0.96500000000000008</v>
      </c>
    </row>
    <row r="19" spans="1:5" x14ac:dyDescent="0.25">
      <c r="A19" s="77" t="s">
        <v>29</v>
      </c>
      <c r="B19" s="78"/>
      <c r="C19" s="78"/>
      <c r="D19" s="79"/>
      <c r="E19" s="5">
        <f>E13+E18</f>
        <v>9.0229999999999997</v>
      </c>
    </row>
  </sheetData>
  <mergeCells count="6">
    <mergeCell ref="A19:D19"/>
    <mergeCell ref="A2:A18"/>
    <mergeCell ref="B2:B12"/>
    <mergeCell ref="B13:D13"/>
    <mergeCell ref="B15:B17"/>
    <mergeCell ref="B18:D18"/>
  </mergeCells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5427-6A4C-4B95-9E42-B7B757912CD5}">
  <dimension ref="A2:G10"/>
  <sheetViews>
    <sheetView zoomScale="106" zoomScaleNormal="106" workbookViewId="0">
      <selection activeCell="C14" sqref="C14"/>
    </sheetView>
  </sheetViews>
  <sheetFormatPr baseColWidth="10" defaultRowHeight="15" x14ac:dyDescent="0.25"/>
  <cols>
    <col min="1" max="1" width="13.42578125" customWidth="1"/>
    <col min="2" max="2" width="19.140625" customWidth="1"/>
    <col min="3" max="3" width="15" customWidth="1"/>
    <col min="4" max="4" width="18.5703125" bestFit="1" customWidth="1"/>
    <col min="7" max="7" width="11.42578125" style="16"/>
    <col min="8" max="8" width="18.5703125" bestFit="1" customWidth="1"/>
    <col min="9" max="9" width="20.7109375" customWidth="1"/>
    <col min="10" max="10" width="18.5703125" customWidth="1"/>
    <col min="14" max="14" width="13.42578125" customWidth="1"/>
    <col min="15" max="15" width="19.85546875" customWidth="1"/>
    <col min="16" max="16" width="14" customWidth="1"/>
  </cols>
  <sheetData>
    <row r="2" spans="1:5" x14ac:dyDescent="0.25">
      <c r="A2" s="77" t="s">
        <v>29</v>
      </c>
      <c r="B2" s="78"/>
      <c r="C2" s="78"/>
      <c r="D2" s="79"/>
      <c r="E2" s="5" t="e">
        <f>#REF!+#REF!</f>
        <v>#REF!</v>
      </c>
    </row>
    <row r="4" spans="1:5" x14ac:dyDescent="0.25">
      <c r="A4" s="80" t="s">
        <v>228</v>
      </c>
      <c r="B4" s="1" t="s">
        <v>0</v>
      </c>
      <c r="C4" s="1" t="s">
        <v>26</v>
      </c>
      <c r="D4" s="55" t="s">
        <v>2</v>
      </c>
      <c r="E4" s="55"/>
    </row>
    <row r="5" spans="1:5" x14ac:dyDescent="0.25">
      <c r="A5" s="80"/>
      <c r="B5" s="1" t="s">
        <v>229</v>
      </c>
      <c r="C5" s="1" t="s">
        <v>9</v>
      </c>
      <c r="D5" s="81">
        <v>0.5</v>
      </c>
      <c r="E5" s="81"/>
    </row>
    <row r="6" spans="1:5" x14ac:dyDescent="0.25">
      <c r="A6" s="80"/>
      <c r="B6" s="1" t="s">
        <v>230</v>
      </c>
      <c r="C6" s="1" t="s">
        <v>9</v>
      </c>
      <c r="D6" s="81">
        <v>1</v>
      </c>
      <c r="E6" s="81"/>
    </row>
    <row r="7" spans="1:5" x14ac:dyDescent="0.25">
      <c r="A7" s="80"/>
      <c r="B7" s="1" t="s">
        <v>231</v>
      </c>
      <c r="C7" s="1" t="s">
        <v>201</v>
      </c>
      <c r="D7" s="81">
        <v>0.5</v>
      </c>
      <c r="E7" s="81"/>
    </row>
    <row r="8" spans="1:5" x14ac:dyDescent="0.25">
      <c r="A8" s="80"/>
      <c r="B8" s="1" t="s">
        <v>232</v>
      </c>
      <c r="C8" s="1" t="s">
        <v>9</v>
      </c>
      <c r="D8" s="81">
        <v>1.75</v>
      </c>
      <c r="E8" s="81"/>
    </row>
    <row r="9" spans="1:5" x14ac:dyDescent="0.25">
      <c r="A9" s="80"/>
      <c r="B9" s="1"/>
      <c r="C9" s="1"/>
      <c r="D9" s="81"/>
      <c r="E9" s="81"/>
    </row>
    <row r="10" spans="1:5" x14ac:dyDescent="0.25">
      <c r="A10" s="71"/>
      <c r="B10" s="71"/>
      <c r="C10" s="71"/>
      <c r="D10" s="71">
        <f>SUM(D5:E8)</f>
        <v>3.75</v>
      </c>
      <c r="E10" s="71"/>
    </row>
  </sheetData>
  <mergeCells count="10">
    <mergeCell ref="A10:C10"/>
    <mergeCell ref="D10:E10"/>
    <mergeCell ref="A2:D2"/>
    <mergeCell ref="A4:A9"/>
    <mergeCell ref="D4:E4"/>
    <mergeCell ref="D5:E5"/>
    <mergeCell ref="D6:E6"/>
    <mergeCell ref="D7:E7"/>
    <mergeCell ref="D8:E8"/>
    <mergeCell ref="D9:E9"/>
  </mergeCell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8A6D-1C55-4EF2-8FED-37DEA1940461}">
  <dimension ref="A2:G25"/>
  <sheetViews>
    <sheetView zoomScale="106" zoomScaleNormal="106" workbookViewId="0">
      <selection activeCell="H22" sqref="H22"/>
    </sheetView>
  </sheetViews>
  <sheetFormatPr baseColWidth="10" defaultRowHeight="15" x14ac:dyDescent="0.25"/>
  <cols>
    <col min="1" max="1" width="13.42578125" customWidth="1"/>
    <col min="2" max="2" width="19.140625" customWidth="1"/>
    <col min="3" max="3" width="15" customWidth="1"/>
    <col min="4" max="4" width="18.5703125" bestFit="1" customWidth="1"/>
    <col min="7" max="7" width="11.42578125" style="16"/>
    <col min="8" max="8" width="18.5703125" bestFit="1" customWidth="1"/>
    <col min="9" max="9" width="20.7109375" customWidth="1"/>
    <col min="10" max="10" width="18.5703125" customWidth="1"/>
    <col min="14" max="14" width="13.42578125" customWidth="1"/>
    <col min="15" max="15" width="19.85546875" customWidth="1"/>
    <col min="16" max="16" width="14" customWidth="1"/>
  </cols>
  <sheetData>
    <row r="2" spans="1:7" x14ac:dyDescent="0.25">
      <c r="A2" s="68" t="s">
        <v>240</v>
      </c>
      <c r="B2" s="56" t="s">
        <v>136</v>
      </c>
      <c r="C2" s="30" t="s">
        <v>147</v>
      </c>
      <c r="D2" s="1" t="s">
        <v>21</v>
      </c>
      <c r="E2" s="1" t="s">
        <v>2</v>
      </c>
    </row>
    <row r="3" spans="1:7" x14ac:dyDescent="0.25">
      <c r="A3" s="68"/>
      <c r="B3" s="57"/>
      <c r="C3" s="1" t="s">
        <v>260</v>
      </c>
      <c r="D3" s="1" t="s">
        <v>9</v>
      </c>
      <c r="E3" s="1">
        <v>2.2599999999999998</v>
      </c>
    </row>
    <row r="4" spans="1:7" x14ac:dyDescent="0.25">
      <c r="A4" s="68"/>
      <c r="B4" s="57"/>
      <c r="C4" s="1" t="s">
        <v>149</v>
      </c>
      <c r="D4" s="1" t="s">
        <v>6</v>
      </c>
      <c r="E4" s="1">
        <v>0.36</v>
      </c>
    </row>
    <row r="5" spans="1:7" x14ac:dyDescent="0.25">
      <c r="A5" s="68"/>
      <c r="B5" s="57"/>
      <c r="C5" s="30" t="s">
        <v>150</v>
      </c>
      <c r="D5" s="1" t="s">
        <v>151</v>
      </c>
      <c r="E5" s="1">
        <v>3.06</v>
      </c>
    </row>
    <row r="6" spans="1:7" x14ac:dyDescent="0.25">
      <c r="A6" s="68"/>
      <c r="B6" s="57"/>
      <c r="C6" s="30" t="s">
        <v>55</v>
      </c>
      <c r="D6" s="1" t="s">
        <v>3</v>
      </c>
      <c r="E6" s="1">
        <v>0.64600000000000002</v>
      </c>
    </row>
    <row r="7" spans="1:7" x14ac:dyDescent="0.25">
      <c r="A7" s="68"/>
      <c r="B7" s="57"/>
      <c r="C7" s="1" t="s">
        <v>152</v>
      </c>
      <c r="D7" s="1" t="s">
        <v>7</v>
      </c>
      <c r="E7" s="1">
        <v>0.45</v>
      </c>
    </row>
    <row r="8" spans="1:7" x14ac:dyDescent="0.25">
      <c r="A8" s="68"/>
      <c r="B8" s="57"/>
      <c r="C8" s="30" t="s">
        <v>132</v>
      </c>
      <c r="D8" s="1" t="s">
        <v>17</v>
      </c>
      <c r="E8" s="1">
        <v>0.1</v>
      </c>
    </row>
    <row r="9" spans="1:7" x14ac:dyDescent="0.25">
      <c r="A9" s="68"/>
      <c r="B9" s="57"/>
      <c r="C9" s="1" t="s">
        <v>200</v>
      </c>
      <c r="D9" s="1" t="s">
        <v>9</v>
      </c>
      <c r="E9" s="1">
        <v>1</v>
      </c>
      <c r="F9" t="s">
        <v>259</v>
      </c>
      <c r="G9" s="16">
        <v>0.1</v>
      </c>
    </row>
    <row r="10" spans="1:7" x14ac:dyDescent="0.25">
      <c r="A10" s="68"/>
      <c r="B10" s="57"/>
      <c r="C10" s="1" t="s">
        <v>191</v>
      </c>
      <c r="D10" s="1" t="s">
        <v>12</v>
      </c>
      <c r="E10" s="1">
        <v>0.23</v>
      </c>
    </row>
    <row r="11" spans="1:7" x14ac:dyDescent="0.25">
      <c r="A11" s="68"/>
      <c r="B11" s="57"/>
      <c r="C11" s="1" t="s">
        <v>242</v>
      </c>
      <c r="D11" s="1" t="s">
        <v>9</v>
      </c>
      <c r="E11" s="1">
        <v>3</v>
      </c>
    </row>
    <row r="12" spans="1:7" x14ac:dyDescent="0.25">
      <c r="A12" s="68"/>
      <c r="B12" s="57"/>
      <c r="C12" s="1" t="s">
        <v>57</v>
      </c>
      <c r="D12" s="1" t="s">
        <v>9</v>
      </c>
      <c r="E12" s="1">
        <v>0.36</v>
      </c>
    </row>
    <row r="13" spans="1:7" x14ac:dyDescent="0.25">
      <c r="A13" s="68"/>
      <c r="B13" s="57"/>
      <c r="C13" s="1" t="s">
        <v>73</v>
      </c>
      <c r="D13" s="1" t="s">
        <v>9</v>
      </c>
      <c r="E13" s="1">
        <v>4.5780000000000003</v>
      </c>
    </row>
    <row r="14" spans="1:7" x14ac:dyDescent="0.25">
      <c r="A14" s="68"/>
      <c r="B14" s="57"/>
      <c r="C14" s="1" t="s">
        <v>249</v>
      </c>
      <c r="D14" s="15" t="s">
        <v>250</v>
      </c>
      <c r="E14" s="1">
        <v>0.25</v>
      </c>
    </row>
    <row r="15" spans="1:7" x14ac:dyDescent="0.25">
      <c r="A15" s="68"/>
      <c r="B15" s="57"/>
      <c r="C15" s="1" t="s">
        <v>133</v>
      </c>
      <c r="D15" s="1" t="s">
        <v>9</v>
      </c>
      <c r="E15" s="1">
        <v>0.8</v>
      </c>
    </row>
    <row r="16" spans="1:7" x14ac:dyDescent="0.25">
      <c r="A16" s="68"/>
      <c r="B16" s="57"/>
      <c r="C16" s="1" t="s">
        <v>153</v>
      </c>
      <c r="D16" s="1" t="s">
        <v>9</v>
      </c>
      <c r="E16" s="1">
        <v>0.85799999999999998</v>
      </c>
    </row>
    <row r="17" spans="1:5" x14ac:dyDescent="0.25">
      <c r="A17" s="68"/>
      <c r="B17" s="52" t="s">
        <v>25</v>
      </c>
      <c r="C17" s="53"/>
      <c r="D17" s="54"/>
      <c r="E17" s="5">
        <f>SUM(E3:E16)</f>
        <v>17.952000000000002</v>
      </c>
    </row>
    <row r="18" spans="1:5" x14ac:dyDescent="0.25">
      <c r="A18" s="68"/>
    </row>
    <row r="19" spans="1:5" x14ac:dyDescent="0.25">
      <c r="A19" s="68"/>
      <c r="B19" s="56" t="s">
        <v>127</v>
      </c>
      <c r="C19" s="1" t="s">
        <v>0</v>
      </c>
      <c r="D19" s="1" t="s">
        <v>126</v>
      </c>
      <c r="E19" s="1" t="s">
        <v>2</v>
      </c>
    </row>
    <row r="20" spans="1:5" x14ac:dyDescent="0.25">
      <c r="A20" s="68"/>
      <c r="B20" s="57"/>
      <c r="C20" s="1" t="s">
        <v>241</v>
      </c>
      <c r="D20" s="1" t="s">
        <v>9</v>
      </c>
      <c r="E20" s="1">
        <v>1</v>
      </c>
    </row>
    <row r="21" spans="1:5" x14ac:dyDescent="0.25">
      <c r="A21" s="68"/>
      <c r="B21" s="57"/>
      <c r="C21" s="1" t="s">
        <v>124</v>
      </c>
      <c r="D21" s="1" t="s">
        <v>9</v>
      </c>
      <c r="E21" s="1">
        <v>3.33</v>
      </c>
    </row>
    <row r="22" spans="1:5" x14ac:dyDescent="0.25">
      <c r="A22" s="68"/>
      <c r="B22" s="57"/>
      <c r="C22" s="1" t="s">
        <v>122</v>
      </c>
      <c r="D22" s="1" t="s">
        <v>23</v>
      </c>
      <c r="E22" s="1">
        <v>0.51</v>
      </c>
    </row>
    <row r="23" spans="1:5" x14ac:dyDescent="0.25">
      <c r="A23" s="68"/>
      <c r="B23" s="58"/>
      <c r="C23" s="1" t="s">
        <v>155</v>
      </c>
      <c r="D23" s="1" t="s">
        <v>23</v>
      </c>
      <c r="E23" s="1">
        <v>0.45500000000000002</v>
      </c>
    </row>
    <row r="24" spans="1:5" x14ac:dyDescent="0.25">
      <c r="A24" s="73"/>
      <c r="B24" s="74" t="s">
        <v>25</v>
      </c>
      <c r="C24" s="75"/>
      <c r="D24" s="76"/>
      <c r="E24" s="14">
        <f>SUM(E20:E23)</f>
        <v>5.2949999999999999</v>
      </c>
    </row>
    <row r="25" spans="1:5" x14ac:dyDescent="0.25">
      <c r="A25" s="77" t="s">
        <v>29</v>
      </c>
      <c r="B25" s="78"/>
      <c r="C25" s="78"/>
      <c r="D25" s="79"/>
      <c r="E25" s="5">
        <f>E17+E24</f>
        <v>23.247</v>
      </c>
    </row>
  </sheetData>
  <mergeCells count="6">
    <mergeCell ref="A25:D25"/>
    <mergeCell ref="A2:A24"/>
    <mergeCell ref="B2:B16"/>
    <mergeCell ref="B17:D17"/>
    <mergeCell ref="B19:B23"/>
    <mergeCell ref="B24:D24"/>
  </mergeCells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F44F-E92D-4F09-891A-26A88ACE6838}">
  <dimension ref="A2:N102"/>
  <sheetViews>
    <sheetView zoomScale="106" zoomScaleNormal="106" workbookViewId="0">
      <selection activeCell="D35" sqref="D35"/>
    </sheetView>
  </sheetViews>
  <sheetFormatPr baseColWidth="10" defaultRowHeight="15" x14ac:dyDescent="0.25"/>
  <cols>
    <col min="1" max="1" width="13.42578125" customWidth="1"/>
    <col min="2" max="2" width="19.140625" customWidth="1"/>
    <col min="3" max="3" width="15" customWidth="1"/>
    <col min="4" max="4" width="18.5703125" bestFit="1" customWidth="1"/>
    <col min="7" max="7" width="17.28515625" style="16" bestFit="1" customWidth="1"/>
    <col min="8" max="8" width="18.5703125" bestFit="1" customWidth="1"/>
    <col min="9" max="9" width="20.7109375" customWidth="1"/>
    <col min="10" max="10" width="18.5703125" customWidth="1"/>
    <col min="14" max="14" width="13.42578125" customWidth="1"/>
    <col min="15" max="15" width="19.85546875" customWidth="1"/>
    <col min="16" max="16" width="14" customWidth="1"/>
  </cols>
  <sheetData>
    <row r="2" spans="1:14" x14ac:dyDescent="0.25">
      <c r="A2" s="45" t="s">
        <v>247</v>
      </c>
      <c r="B2" s="1" t="s">
        <v>0</v>
      </c>
      <c r="C2" s="1" t="s">
        <v>26</v>
      </c>
      <c r="D2" s="1" t="s">
        <v>2</v>
      </c>
      <c r="F2" s="45" t="s">
        <v>179</v>
      </c>
      <c r="G2" s="1" t="s">
        <v>0</v>
      </c>
      <c r="H2" s="1" t="s">
        <v>26</v>
      </c>
      <c r="I2" s="1" t="s">
        <v>2</v>
      </c>
    </row>
    <row r="3" spans="1:14" x14ac:dyDescent="0.25">
      <c r="A3" s="46"/>
      <c r="B3" s="1" t="s">
        <v>10</v>
      </c>
      <c r="C3" s="2"/>
      <c r="D3" s="1"/>
      <c r="F3" s="46"/>
      <c r="G3" s="1" t="s">
        <v>42</v>
      </c>
      <c r="H3" s="3"/>
      <c r="I3" s="1"/>
    </row>
    <row r="4" spans="1:14" x14ac:dyDescent="0.25">
      <c r="A4" s="46"/>
      <c r="B4" s="1" t="s">
        <v>32</v>
      </c>
      <c r="C4" s="3"/>
      <c r="D4" s="1"/>
      <c r="F4" s="46"/>
      <c r="G4" s="1" t="s">
        <v>50</v>
      </c>
      <c r="H4" s="3"/>
      <c r="I4" s="1"/>
    </row>
    <row r="5" spans="1:14" x14ac:dyDescent="0.25">
      <c r="A5" s="46"/>
      <c r="B5" s="1" t="s">
        <v>33</v>
      </c>
      <c r="C5" s="3"/>
      <c r="D5" s="1"/>
      <c r="F5" s="46"/>
      <c r="G5" s="1" t="s">
        <v>46</v>
      </c>
      <c r="H5" s="3"/>
      <c r="I5" s="1"/>
    </row>
    <row r="6" spans="1:14" x14ac:dyDescent="0.25">
      <c r="A6" s="46"/>
      <c r="B6" s="1" t="s">
        <v>34</v>
      </c>
      <c r="C6" s="3"/>
      <c r="D6" s="1"/>
      <c r="F6" s="46"/>
      <c r="G6" s="1" t="s">
        <v>48</v>
      </c>
      <c r="H6" s="3"/>
      <c r="I6" s="1"/>
    </row>
    <row r="7" spans="1:14" x14ac:dyDescent="0.25">
      <c r="A7" s="46"/>
      <c r="B7" s="1" t="s">
        <v>37</v>
      </c>
      <c r="C7" s="1"/>
      <c r="D7" s="1"/>
      <c r="F7" s="46"/>
      <c r="G7" s="1"/>
      <c r="H7" s="1"/>
      <c r="I7" s="1"/>
    </row>
    <row r="8" spans="1:14" x14ac:dyDescent="0.25">
      <c r="A8" s="46"/>
      <c r="B8" s="1" t="s">
        <v>1</v>
      </c>
      <c r="C8" s="1"/>
      <c r="D8" s="1"/>
      <c r="F8" s="47"/>
      <c r="G8" s="1"/>
      <c r="H8" s="1"/>
      <c r="I8" s="1"/>
    </row>
    <row r="9" spans="1:14" x14ac:dyDescent="0.25">
      <c r="A9" s="47"/>
      <c r="B9" s="1" t="s">
        <v>38</v>
      </c>
      <c r="C9" s="1"/>
      <c r="D9" s="1"/>
      <c r="F9" s="33" t="s">
        <v>29</v>
      </c>
      <c r="G9" s="34"/>
      <c r="H9" s="35"/>
      <c r="I9" s="1">
        <f>SUM(I3:I8)</f>
        <v>0</v>
      </c>
    </row>
    <row r="10" spans="1:14" x14ac:dyDescent="0.25">
      <c r="A10" s="31" t="s">
        <v>29</v>
      </c>
      <c r="B10" s="31"/>
      <c r="C10" s="31"/>
      <c r="D10" s="1">
        <f>SUM(D3:D9)</f>
        <v>0</v>
      </c>
      <c r="G10"/>
    </row>
    <row r="11" spans="1:14" x14ac:dyDescent="0.25">
      <c r="F11" s="69" t="s">
        <v>210</v>
      </c>
      <c r="G11" s="1" t="s">
        <v>0</v>
      </c>
      <c r="H11" s="1" t="s">
        <v>26</v>
      </c>
      <c r="I11" s="1" t="s">
        <v>2</v>
      </c>
      <c r="K11" s="86" t="s">
        <v>206</v>
      </c>
      <c r="L11" s="1" t="s">
        <v>0</v>
      </c>
      <c r="M11" s="1" t="s">
        <v>26</v>
      </c>
      <c r="N11" s="1" t="s">
        <v>2</v>
      </c>
    </row>
    <row r="12" spans="1:14" x14ac:dyDescent="0.25">
      <c r="A12" s="45" t="s">
        <v>101</v>
      </c>
      <c r="B12" s="1" t="s">
        <v>0</v>
      </c>
      <c r="C12" s="1" t="s">
        <v>26</v>
      </c>
      <c r="D12" s="1" t="s">
        <v>2</v>
      </c>
      <c r="F12" s="69"/>
      <c r="G12" s="1" t="s">
        <v>63</v>
      </c>
      <c r="H12" s="3"/>
      <c r="I12" s="1"/>
      <c r="K12" s="87"/>
      <c r="L12" s="1"/>
      <c r="M12" s="1"/>
      <c r="N12" s="1"/>
    </row>
    <row r="13" spans="1:14" x14ac:dyDescent="0.25">
      <c r="A13" s="46"/>
      <c r="B13" s="1" t="s">
        <v>199</v>
      </c>
      <c r="C13" s="1"/>
      <c r="D13" s="1"/>
      <c r="F13" s="69"/>
      <c r="G13" s="1" t="s">
        <v>65</v>
      </c>
      <c r="H13" s="3"/>
      <c r="I13" s="1"/>
      <c r="K13" s="87"/>
      <c r="L13" s="1"/>
      <c r="M13" s="1"/>
      <c r="N13" s="1"/>
    </row>
    <row r="14" spans="1:14" x14ac:dyDescent="0.25">
      <c r="A14" s="46"/>
      <c r="B14" s="1" t="s">
        <v>10</v>
      </c>
      <c r="C14" s="2"/>
      <c r="D14" s="1"/>
      <c r="F14" s="69"/>
      <c r="G14" s="1" t="s">
        <v>64</v>
      </c>
      <c r="H14" s="3"/>
      <c r="I14" s="1"/>
      <c r="K14" s="87"/>
      <c r="L14" s="1"/>
      <c r="M14" s="1"/>
      <c r="N14" s="1"/>
    </row>
    <row r="15" spans="1:14" x14ac:dyDescent="0.25">
      <c r="A15" s="46"/>
      <c r="B15" s="1" t="s">
        <v>38</v>
      </c>
      <c r="C15" s="3"/>
      <c r="D15" s="1"/>
      <c r="F15" s="69"/>
      <c r="G15" s="1" t="s">
        <v>11</v>
      </c>
      <c r="H15" s="3"/>
      <c r="I15" s="1"/>
      <c r="K15" s="87"/>
      <c r="L15" s="1"/>
      <c r="M15" s="1"/>
      <c r="N15" s="1"/>
    </row>
    <row r="16" spans="1:14" x14ac:dyDescent="0.25">
      <c r="A16" s="46"/>
      <c r="B16" s="1" t="s">
        <v>42</v>
      </c>
      <c r="C16" s="3"/>
      <c r="D16" s="1"/>
      <c r="F16" s="69"/>
      <c r="G16" s="1" t="s">
        <v>66</v>
      </c>
      <c r="H16" s="1"/>
      <c r="I16" s="1"/>
      <c r="K16" s="87"/>
      <c r="L16" s="1"/>
      <c r="M16" s="1"/>
      <c r="N16" s="1"/>
    </row>
    <row r="17" spans="1:14" x14ac:dyDescent="0.25">
      <c r="A17" s="46"/>
      <c r="B17" s="1" t="s">
        <v>44</v>
      </c>
      <c r="C17" s="3"/>
      <c r="D17" s="1"/>
      <c r="F17" s="69"/>
      <c r="G17" s="1"/>
      <c r="H17" s="1"/>
      <c r="I17" s="1"/>
      <c r="K17" s="1">
        <f>SUM(M12:M16)</f>
        <v>0</v>
      </c>
      <c r="L17" s="1"/>
      <c r="M17" s="1"/>
      <c r="N17" s="1">
        <f>SUM(N12:N16)</f>
        <v>0</v>
      </c>
    </row>
    <row r="18" spans="1:14" x14ac:dyDescent="0.25">
      <c r="A18" s="46"/>
      <c r="B18" s="1" t="s">
        <v>46</v>
      </c>
      <c r="C18" s="1"/>
      <c r="D18" s="1"/>
      <c r="F18" s="102"/>
      <c r="G18" s="102"/>
      <c r="H18" s="102"/>
      <c r="I18" s="1">
        <f>SUM(I12:I17)</f>
        <v>0</v>
      </c>
      <c r="N18" s="36"/>
    </row>
    <row r="19" spans="1:14" x14ac:dyDescent="0.25">
      <c r="A19" s="47"/>
      <c r="B19" s="1" t="s">
        <v>48</v>
      </c>
      <c r="C19" s="1"/>
      <c r="D19" s="1"/>
    </row>
    <row r="20" spans="1:14" x14ac:dyDescent="0.25">
      <c r="A20" s="31" t="s">
        <v>29</v>
      </c>
      <c r="B20" s="31"/>
      <c r="C20" s="31"/>
      <c r="D20" s="1">
        <f>SUM(D13:D19)</f>
        <v>0</v>
      </c>
      <c r="F20" s="56" t="s">
        <v>141</v>
      </c>
      <c r="G20" s="1" t="s">
        <v>0</v>
      </c>
      <c r="H20" s="1" t="s">
        <v>26</v>
      </c>
      <c r="I20" s="1" t="s">
        <v>2</v>
      </c>
      <c r="K20" s="86" t="s">
        <v>207</v>
      </c>
      <c r="L20" s="1" t="s">
        <v>0</v>
      </c>
      <c r="M20" s="1" t="s">
        <v>26</v>
      </c>
      <c r="N20" s="1" t="s">
        <v>2</v>
      </c>
    </row>
    <row r="21" spans="1:14" x14ac:dyDescent="0.25">
      <c r="F21" s="57"/>
      <c r="G21" s="1" t="s">
        <v>142</v>
      </c>
      <c r="H21" s="1"/>
      <c r="I21" s="1"/>
      <c r="K21" s="87"/>
      <c r="L21" s="1"/>
      <c r="M21" s="1"/>
      <c r="N21" s="1"/>
    </row>
    <row r="22" spans="1:14" x14ac:dyDescent="0.25">
      <c r="F22" s="57"/>
      <c r="G22" s="1" t="s">
        <v>44</v>
      </c>
      <c r="H22" s="1"/>
      <c r="I22" s="1"/>
      <c r="K22" s="87"/>
      <c r="L22" s="1"/>
      <c r="M22" s="1"/>
      <c r="N22" s="1"/>
    </row>
    <row r="23" spans="1:14" x14ac:dyDescent="0.25">
      <c r="A23" s="69" t="s">
        <v>233</v>
      </c>
      <c r="B23" s="1" t="s">
        <v>0</v>
      </c>
      <c r="C23" s="1" t="s">
        <v>26</v>
      </c>
      <c r="D23" s="1" t="s">
        <v>2</v>
      </c>
      <c r="F23" s="57"/>
      <c r="G23" s="1" t="s">
        <v>143</v>
      </c>
      <c r="H23" s="1"/>
      <c r="I23" s="1"/>
      <c r="K23" s="87"/>
      <c r="L23" s="1"/>
      <c r="M23" s="1"/>
      <c r="N23" s="1"/>
    </row>
    <row r="24" spans="1:14" x14ac:dyDescent="0.25">
      <c r="A24" s="69"/>
      <c r="B24" s="1" t="s">
        <v>90</v>
      </c>
      <c r="C24" s="3"/>
      <c r="D24" s="1"/>
      <c r="F24" s="57"/>
      <c r="G24" s="1" t="s">
        <v>144</v>
      </c>
      <c r="H24" s="1"/>
      <c r="I24" s="1"/>
      <c r="K24" s="87"/>
      <c r="L24" s="1"/>
      <c r="M24" s="1"/>
      <c r="N24" s="1"/>
    </row>
    <row r="25" spans="1:14" x14ac:dyDescent="0.25">
      <c r="A25" s="69"/>
      <c r="B25" s="1" t="s">
        <v>91</v>
      </c>
      <c r="C25" s="3"/>
      <c r="D25" s="1"/>
      <c r="F25" s="58"/>
      <c r="G25" s="1" t="s">
        <v>135</v>
      </c>
      <c r="H25" s="1"/>
      <c r="I25" s="1"/>
      <c r="K25" s="87"/>
      <c r="L25" s="1"/>
      <c r="M25" s="1"/>
      <c r="N25" s="1"/>
    </row>
    <row r="26" spans="1:14" x14ac:dyDescent="0.25">
      <c r="A26" s="69"/>
      <c r="B26" s="1" t="s">
        <v>92</v>
      </c>
      <c r="C26" s="3"/>
      <c r="D26" s="1"/>
      <c r="F26" s="55"/>
      <c r="G26" s="55"/>
      <c r="H26" s="55"/>
      <c r="I26" s="1">
        <f>SUM(I21:I25)</f>
        <v>0</v>
      </c>
      <c r="K26" s="55"/>
      <c r="L26" s="55"/>
      <c r="M26" s="55"/>
      <c r="N26" s="1">
        <f>SUM(N21:N25)</f>
        <v>0</v>
      </c>
    </row>
    <row r="27" spans="1:14" x14ac:dyDescent="0.25">
      <c r="A27" s="69"/>
      <c r="B27" s="1" t="s">
        <v>93</v>
      </c>
      <c r="C27" s="3"/>
      <c r="D27" s="1"/>
      <c r="G27"/>
    </row>
    <row r="28" spans="1:14" x14ac:dyDescent="0.25">
      <c r="A28" s="69"/>
      <c r="B28" s="1" t="s">
        <v>178</v>
      </c>
      <c r="C28" s="1"/>
      <c r="D28" s="1"/>
      <c r="F28" s="56" t="s">
        <v>156</v>
      </c>
      <c r="G28" s="1" t="s">
        <v>0</v>
      </c>
      <c r="H28" s="1" t="s">
        <v>26</v>
      </c>
      <c r="I28" s="1" t="s">
        <v>2</v>
      </c>
    </row>
    <row r="29" spans="1:14" x14ac:dyDescent="0.25">
      <c r="A29" s="69"/>
      <c r="B29" s="1"/>
      <c r="C29" s="1"/>
      <c r="D29" s="1"/>
      <c r="F29" s="57"/>
      <c r="G29" s="1" t="s">
        <v>261</v>
      </c>
      <c r="H29" s="1"/>
      <c r="I29" s="1"/>
    </row>
    <row r="30" spans="1:14" x14ac:dyDescent="0.25">
      <c r="A30" s="102"/>
      <c r="B30" s="102"/>
      <c r="C30" s="102"/>
      <c r="D30" s="1">
        <f>SUM(D24:D29)</f>
        <v>0</v>
      </c>
      <c r="F30" s="57"/>
      <c r="G30" s="1" t="s">
        <v>158</v>
      </c>
      <c r="H30" s="1"/>
      <c r="I30" s="1"/>
    </row>
    <row r="31" spans="1:14" x14ac:dyDescent="0.25">
      <c r="F31" s="57"/>
      <c r="G31" s="1" t="s">
        <v>159</v>
      </c>
      <c r="H31" s="1"/>
      <c r="I31" s="1"/>
    </row>
    <row r="32" spans="1:14" x14ac:dyDescent="0.25">
      <c r="A32" s="69" t="s">
        <v>127</v>
      </c>
      <c r="B32" s="1" t="s">
        <v>0</v>
      </c>
      <c r="C32" s="1" t="s">
        <v>126</v>
      </c>
      <c r="D32" s="1" t="s">
        <v>2</v>
      </c>
      <c r="F32" s="57"/>
      <c r="G32" s="1" t="s">
        <v>150</v>
      </c>
      <c r="H32" s="1"/>
      <c r="I32" s="1"/>
    </row>
    <row r="33" spans="1:9" x14ac:dyDescent="0.25">
      <c r="A33" s="69"/>
      <c r="B33" s="1" t="s">
        <v>122</v>
      </c>
      <c r="C33" s="1"/>
      <c r="D33" s="1"/>
      <c r="F33" s="55"/>
      <c r="G33" s="55"/>
      <c r="H33" s="55"/>
      <c r="I33" s="1">
        <f>SUM(I29:I32)</f>
        <v>0</v>
      </c>
    </row>
    <row r="34" spans="1:9" x14ac:dyDescent="0.25">
      <c r="A34" s="69"/>
      <c r="B34" s="1" t="s">
        <v>123</v>
      </c>
      <c r="C34" s="1"/>
      <c r="D34" s="1"/>
    </row>
    <row r="35" spans="1:9" x14ac:dyDescent="0.25">
      <c r="A35" s="69"/>
      <c r="B35" s="1" t="s">
        <v>124</v>
      </c>
      <c r="C35" s="1"/>
      <c r="D35" s="1"/>
      <c r="F35" s="84" t="s">
        <v>165</v>
      </c>
      <c r="G35" s="1" t="s">
        <v>0</v>
      </c>
      <c r="H35" s="1" t="s">
        <v>26</v>
      </c>
      <c r="I35" s="1" t="s">
        <v>2</v>
      </c>
    </row>
    <row r="36" spans="1:9" x14ac:dyDescent="0.25">
      <c r="A36" s="69"/>
      <c r="B36" s="1" t="s">
        <v>125</v>
      </c>
      <c r="C36" s="1"/>
      <c r="D36" s="1"/>
      <c r="F36" s="85"/>
      <c r="G36" s="1" t="s">
        <v>166</v>
      </c>
      <c r="H36" s="1"/>
      <c r="I36" s="1"/>
    </row>
    <row r="37" spans="1:9" x14ac:dyDescent="0.25">
      <c r="A37" s="55"/>
      <c r="B37" s="55"/>
      <c r="C37" s="55"/>
      <c r="D37" s="1">
        <f>SUM(D33:D36)</f>
        <v>0</v>
      </c>
      <c r="F37" s="85"/>
      <c r="G37" s="1" t="s">
        <v>167</v>
      </c>
      <c r="H37" s="1"/>
      <c r="I37" s="1"/>
    </row>
    <row r="38" spans="1:9" x14ac:dyDescent="0.25">
      <c r="F38" s="85"/>
      <c r="G38" s="1" t="s">
        <v>95</v>
      </c>
      <c r="H38" s="1"/>
      <c r="I38" s="1"/>
    </row>
    <row r="39" spans="1:9" x14ac:dyDescent="0.25">
      <c r="A39" s="56" t="s">
        <v>70</v>
      </c>
      <c r="B39" s="1" t="s">
        <v>0</v>
      </c>
      <c r="C39" s="1" t="s">
        <v>26</v>
      </c>
      <c r="D39" s="1" t="s">
        <v>2</v>
      </c>
      <c r="F39" s="85"/>
      <c r="G39" s="1" t="s">
        <v>1</v>
      </c>
      <c r="H39" s="1"/>
      <c r="I39" s="1"/>
    </row>
    <row r="40" spans="1:9" x14ac:dyDescent="0.25">
      <c r="A40" s="57"/>
      <c r="B40" s="1" t="s">
        <v>160</v>
      </c>
      <c r="C40" s="1"/>
      <c r="D40" s="1"/>
      <c r="F40" s="85"/>
      <c r="G40" s="1" t="s">
        <v>170</v>
      </c>
      <c r="H40" s="1"/>
      <c r="I40" s="1"/>
    </row>
    <row r="41" spans="1:9" x14ac:dyDescent="0.25">
      <c r="A41" s="57"/>
      <c r="B41" s="1" t="s">
        <v>161</v>
      </c>
      <c r="C41" s="1"/>
      <c r="D41" s="1"/>
      <c r="F41" s="85"/>
      <c r="G41" s="1" t="s">
        <v>168</v>
      </c>
      <c r="H41" s="1"/>
      <c r="I41" s="1"/>
    </row>
    <row r="42" spans="1:9" x14ac:dyDescent="0.25">
      <c r="A42" s="57"/>
      <c r="B42" s="1" t="s">
        <v>11</v>
      </c>
      <c r="C42" s="1"/>
      <c r="D42" s="1"/>
      <c r="F42" s="55"/>
      <c r="G42" s="55"/>
      <c r="H42" s="55"/>
      <c r="I42" s="1">
        <f>SUM(I36:I41)</f>
        <v>0</v>
      </c>
    </row>
    <row r="43" spans="1:9" x14ac:dyDescent="0.25">
      <c r="A43" s="57"/>
      <c r="B43" s="1" t="s">
        <v>59</v>
      </c>
      <c r="C43" s="1"/>
      <c r="D43" s="1"/>
      <c r="G43"/>
    </row>
    <row r="44" spans="1:9" x14ac:dyDescent="0.25">
      <c r="A44" s="55"/>
      <c r="B44" s="55"/>
      <c r="C44" s="55"/>
      <c r="D44" s="1">
        <f>SUM(D40:D43)</f>
        <v>0</v>
      </c>
      <c r="F44" s="86" t="s">
        <v>171</v>
      </c>
      <c r="G44" s="1" t="s">
        <v>0</v>
      </c>
      <c r="H44" s="1" t="s">
        <v>26</v>
      </c>
      <c r="I44" s="1" t="s">
        <v>2</v>
      </c>
    </row>
    <row r="45" spans="1:9" x14ac:dyDescent="0.25">
      <c r="F45" s="87"/>
      <c r="G45" s="1" t="s">
        <v>166</v>
      </c>
      <c r="H45" s="1"/>
      <c r="I45" s="1"/>
    </row>
    <row r="46" spans="1:9" x14ac:dyDescent="0.25">
      <c r="F46" s="87"/>
      <c r="G46" s="1" t="s">
        <v>172</v>
      </c>
      <c r="H46" s="1"/>
      <c r="I46" s="1"/>
    </row>
    <row r="47" spans="1:9" x14ac:dyDescent="0.25">
      <c r="A47" s="56" t="s">
        <v>162</v>
      </c>
      <c r="B47" s="1" t="s">
        <v>0</v>
      </c>
      <c r="C47" s="1" t="s">
        <v>26</v>
      </c>
      <c r="D47" s="1" t="s">
        <v>2</v>
      </c>
      <c r="F47" s="87"/>
      <c r="G47" s="1" t="s">
        <v>173</v>
      </c>
      <c r="H47" s="1"/>
      <c r="I47" s="1"/>
    </row>
    <row r="48" spans="1:9" x14ac:dyDescent="0.25">
      <c r="A48" s="57"/>
      <c r="B48" s="1" t="s">
        <v>163</v>
      </c>
      <c r="C48" s="1"/>
      <c r="D48" s="1"/>
      <c r="F48" s="87"/>
      <c r="G48" s="1" t="s">
        <v>116</v>
      </c>
      <c r="H48" s="1"/>
      <c r="I48" s="1"/>
    </row>
    <row r="49" spans="1:9" x14ac:dyDescent="0.25">
      <c r="A49" s="57"/>
      <c r="B49" s="1" t="s">
        <v>164</v>
      </c>
      <c r="C49" s="1"/>
      <c r="D49" s="1"/>
      <c r="F49" s="87"/>
      <c r="G49" s="1" t="s">
        <v>118</v>
      </c>
      <c r="H49" s="1"/>
      <c r="I49" s="1"/>
    </row>
    <row r="50" spans="1:9" x14ac:dyDescent="0.25">
      <c r="A50" s="57"/>
      <c r="B50" s="1" t="s">
        <v>158</v>
      </c>
      <c r="C50" s="1"/>
      <c r="D50" s="1"/>
      <c r="F50" s="55"/>
      <c r="G50" s="55"/>
      <c r="H50" s="55"/>
      <c r="I50" s="1">
        <f>SUM(I45:I49)</f>
        <v>0</v>
      </c>
    </row>
    <row r="51" spans="1:9" x14ac:dyDescent="0.25">
      <c r="A51" s="57"/>
      <c r="B51" s="1"/>
      <c r="C51" s="1"/>
      <c r="D51" s="1"/>
    </row>
    <row r="52" spans="1:9" x14ac:dyDescent="0.25">
      <c r="A52" s="55"/>
      <c r="B52" s="55"/>
      <c r="C52" s="55"/>
      <c r="D52" s="1">
        <f>SUM(D48:D50)</f>
        <v>0</v>
      </c>
    </row>
    <row r="53" spans="1:9" x14ac:dyDescent="0.25">
      <c r="F53" s="86" t="s">
        <v>194</v>
      </c>
      <c r="G53" s="1" t="s">
        <v>0</v>
      </c>
      <c r="H53" s="1" t="s">
        <v>26</v>
      </c>
      <c r="I53" s="1" t="s">
        <v>2</v>
      </c>
    </row>
    <row r="54" spans="1:9" x14ac:dyDescent="0.25">
      <c r="A54" s="86" t="s">
        <v>191</v>
      </c>
      <c r="B54" s="1" t="s">
        <v>0</v>
      </c>
      <c r="C54" s="1" t="s">
        <v>181</v>
      </c>
      <c r="D54" s="1" t="s">
        <v>2</v>
      </c>
      <c r="E54" s="83" t="s">
        <v>190</v>
      </c>
      <c r="F54" s="87"/>
      <c r="G54" s="1" t="s">
        <v>195</v>
      </c>
      <c r="H54" s="1"/>
      <c r="I54" s="1"/>
    </row>
    <row r="55" spans="1:9" x14ac:dyDescent="0.25">
      <c r="A55" s="87"/>
      <c r="B55" s="1" t="s">
        <v>182</v>
      </c>
      <c r="C55" s="1"/>
      <c r="D55" s="1"/>
      <c r="E55" s="83"/>
      <c r="F55" s="87"/>
      <c r="G55" s="1" t="s">
        <v>191</v>
      </c>
      <c r="H55" s="1"/>
      <c r="I55" s="1"/>
    </row>
    <row r="56" spans="1:9" x14ac:dyDescent="0.25">
      <c r="A56" s="87"/>
      <c r="B56" s="1" t="s">
        <v>183</v>
      </c>
      <c r="C56" s="1"/>
      <c r="D56" s="1"/>
      <c r="E56" s="83"/>
      <c r="F56" s="87"/>
      <c r="G56" s="1" t="s">
        <v>107</v>
      </c>
      <c r="H56" s="1"/>
      <c r="I56" s="1"/>
    </row>
    <row r="57" spans="1:9" x14ac:dyDescent="0.25">
      <c r="A57" s="87"/>
      <c r="B57" s="1" t="s">
        <v>184</v>
      </c>
      <c r="C57" s="1"/>
      <c r="D57" s="1"/>
      <c r="E57" s="83"/>
      <c r="F57" s="87"/>
      <c r="G57" s="1"/>
      <c r="H57" s="1"/>
      <c r="I57" s="1"/>
    </row>
    <row r="58" spans="1:9" x14ac:dyDescent="0.25">
      <c r="A58" s="87"/>
      <c r="B58" s="1" t="s">
        <v>185</v>
      </c>
      <c r="C58" s="1"/>
      <c r="D58" s="1"/>
      <c r="E58" s="83"/>
      <c r="F58" s="87"/>
      <c r="G58" s="1"/>
      <c r="H58" s="1"/>
      <c r="I58" s="1"/>
    </row>
    <row r="59" spans="1:9" x14ac:dyDescent="0.25">
      <c r="A59" s="87"/>
      <c r="B59" s="1" t="s">
        <v>1</v>
      </c>
      <c r="C59" s="1"/>
      <c r="D59" s="1"/>
      <c r="E59" s="83"/>
      <c r="F59" s="55"/>
      <c r="G59" s="55"/>
      <c r="H59" s="55"/>
      <c r="I59" s="1">
        <f>SUM(I54:I58)</f>
        <v>0</v>
      </c>
    </row>
    <row r="60" spans="1:9" x14ac:dyDescent="0.25">
      <c r="A60" s="87"/>
      <c r="B60" s="1" t="s">
        <v>186</v>
      </c>
      <c r="C60" s="1"/>
      <c r="D60" s="1"/>
      <c r="E60" s="83"/>
      <c r="G60"/>
    </row>
    <row r="61" spans="1:9" x14ac:dyDescent="0.25">
      <c r="A61" s="87"/>
      <c r="B61" s="1" t="s">
        <v>187</v>
      </c>
      <c r="C61" s="1"/>
      <c r="D61" s="1"/>
      <c r="E61" s="83"/>
      <c r="G61"/>
    </row>
    <row r="62" spans="1:9" x14ac:dyDescent="0.25">
      <c r="A62" s="87"/>
      <c r="B62" s="1" t="s">
        <v>188</v>
      </c>
      <c r="C62" s="1"/>
      <c r="D62" s="1"/>
      <c r="E62" s="83"/>
      <c r="F62" s="86" t="s">
        <v>135</v>
      </c>
      <c r="G62" s="1" t="s">
        <v>0</v>
      </c>
      <c r="H62" s="1" t="s">
        <v>26</v>
      </c>
      <c r="I62" s="1" t="s">
        <v>2</v>
      </c>
    </row>
    <row r="63" spans="1:9" x14ac:dyDescent="0.25">
      <c r="A63" s="87"/>
      <c r="B63" s="1" t="s">
        <v>13</v>
      </c>
      <c r="C63" s="1"/>
      <c r="D63" s="1"/>
      <c r="E63" s="83"/>
      <c r="F63" s="87"/>
      <c r="G63" s="1" t="s">
        <v>135</v>
      </c>
      <c r="H63" s="1" t="s">
        <v>145</v>
      </c>
      <c r="I63" s="1">
        <v>4</v>
      </c>
    </row>
    <row r="64" spans="1:9" x14ac:dyDescent="0.25">
      <c r="A64" s="87"/>
      <c r="B64" s="1" t="s">
        <v>189</v>
      </c>
      <c r="C64" s="1"/>
      <c r="D64" s="1"/>
      <c r="E64" s="83"/>
      <c r="F64" s="87"/>
      <c r="G64" s="1" t="s">
        <v>44</v>
      </c>
      <c r="H64" s="1"/>
      <c r="I64" s="1"/>
    </row>
    <row r="65" spans="1:9" x14ac:dyDescent="0.25">
      <c r="A65" s="55" t="s">
        <v>25</v>
      </c>
      <c r="B65" s="55"/>
      <c r="C65" s="55"/>
      <c r="D65" s="1">
        <f>SUM(D55:D64)</f>
        <v>0</v>
      </c>
      <c r="E65" s="83"/>
      <c r="F65" s="87"/>
      <c r="G65" s="1" t="s">
        <v>197</v>
      </c>
      <c r="H65" s="1"/>
      <c r="I65" s="1"/>
    </row>
    <row r="66" spans="1:9" x14ac:dyDescent="0.25">
      <c r="A66" s="55" t="s">
        <v>192</v>
      </c>
      <c r="B66" s="55"/>
      <c r="C66" s="55"/>
      <c r="D66" s="55"/>
      <c r="E66" s="1"/>
      <c r="F66" s="87"/>
      <c r="G66" s="1" t="s">
        <v>198</v>
      </c>
      <c r="H66" s="1"/>
      <c r="I66" s="1"/>
    </row>
    <row r="67" spans="1:9" x14ac:dyDescent="0.25">
      <c r="F67" s="87"/>
      <c r="G67" s="1" t="s">
        <v>149</v>
      </c>
      <c r="H67" s="1"/>
      <c r="I67" s="1"/>
    </row>
    <row r="68" spans="1:9" x14ac:dyDescent="0.25">
      <c r="A68" s="89" t="s">
        <v>235</v>
      </c>
      <c r="B68" s="1" t="s">
        <v>0</v>
      </c>
      <c r="C68" s="1" t="s">
        <v>26</v>
      </c>
      <c r="D68" s="1" t="s">
        <v>2</v>
      </c>
      <c r="F68" s="87"/>
      <c r="G68" s="1" t="s">
        <v>142</v>
      </c>
      <c r="H68" s="1"/>
      <c r="I68" s="1"/>
    </row>
    <row r="69" spans="1:9" x14ac:dyDescent="0.25">
      <c r="A69" s="90"/>
      <c r="B69" s="1" t="s">
        <v>236</v>
      </c>
      <c r="C69" s="1"/>
      <c r="D69" s="1"/>
      <c r="F69" s="87"/>
      <c r="G69" s="1" t="s">
        <v>143</v>
      </c>
      <c r="H69" s="1"/>
      <c r="I69" s="1"/>
    </row>
    <row r="70" spans="1:9" x14ac:dyDescent="0.25">
      <c r="A70" s="90"/>
      <c r="B70" s="1" t="s">
        <v>237</v>
      </c>
      <c r="C70" s="1"/>
      <c r="D70" s="1"/>
      <c r="F70" s="55"/>
      <c r="G70" s="55"/>
      <c r="H70" s="55"/>
      <c r="I70" s="1">
        <f>SUM(I63:I69)</f>
        <v>4</v>
      </c>
    </row>
    <row r="71" spans="1:9" x14ac:dyDescent="0.25">
      <c r="A71" s="90"/>
      <c r="B71" s="1" t="s">
        <v>202</v>
      </c>
      <c r="C71" s="1"/>
      <c r="D71" s="1"/>
    </row>
    <row r="72" spans="1:9" x14ac:dyDescent="0.25">
      <c r="A72" s="90"/>
      <c r="B72" s="1" t="s">
        <v>238</v>
      </c>
      <c r="C72" s="1"/>
      <c r="D72" s="1"/>
    </row>
    <row r="73" spans="1:9" x14ac:dyDescent="0.25">
      <c r="A73" s="103"/>
      <c r="B73" s="1" t="s">
        <v>239</v>
      </c>
      <c r="C73" s="1"/>
      <c r="D73" s="1"/>
      <c r="F73" s="86" t="s">
        <v>100</v>
      </c>
      <c r="G73" s="1" t="s">
        <v>0</v>
      </c>
      <c r="H73" s="1" t="s">
        <v>26</v>
      </c>
      <c r="I73" s="1" t="s">
        <v>2</v>
      </c>
    </row>
    <row r="74" spans="1:9" x14ac:dyDescent="0.25">
      <c r="A74" s="95"/>
      <c r="B74" s="96"/>
      <c r="C74" s="97"/>
      <c r="D74" s="1">
        <f>SUM(D69:D73)</f>
        <v>0</v>
      </c>
      <c r="F74" s="87"/>
      <c r="G74" s="1" t="s">
        <v>42</v>
      </c>
      <c r="H74" s="1"/>
      <c r="I74" s="1"/>
    </row>
    <row r="75" spans="1:9" x14ac:dyDescent="0.25">
      <c r="F75" s="87"/>
      <c r="G75" s="1" t="s">
        <v>215</v>
      </c>
      <c r="H75" s="1"/>
      <c r="I75" s="1"/>
    </row>
    <row r="76" spans="1:9" x14ac:dyDescent="0.25">
      <c r="A76" s="91" t="s">
        <v>243</v>
      </c>
      <c r="B76" s="1" t="s">
        <v>0</v>
      </c>
      <c r="C76" s="1" t="s">
        <v>26</v>
      </c>
      <c r="D76" s="1" t="s">
        <v>2</v>
      </c>
      <c r="F76" s="87"/>
      <c r="G76" s="1" t="s">
        <v>216</v>
      </c>
      <c r="H76" s="1"/>
      <c r="I76" s="1"/>
    </row>
    <row r="77" spans="1:9" x14ac:dyDescent="0.25">
      <c r="A77" s="92"/>
      <c r="B77" s="1" t="s">
        <v>244</v>
      </c>
      <c r="C77" s="1"/>
      <c r="D77" s="1"/>
      <c r="F77" s="87"/>
      <c r="G77" s="1" t="s">
        <v>218</v>
      </c>
      <c r="H77" s="1"/>
      <c r="I77" s="1"/>
    </row>
    <row r="78" spans="1:9" x14ac:dyDescent="0.25">
      <c r="A78" s="92"/>
      <c r="B78" s="1" t="s">
        <v>10</v>
      </c>
      <c r="C78" s="1"/>
      <c r="D78" s="1"/>
      <c r="F78" s="87"/>
      <c r="G78" s="1" t="s">
        <v>10</v>
      </c>
      <c r="H78" s="1"/>
      <c r="I78" s="1"/>
    </row>
    <row r="79" spans="1:9" x14ac:dyDescent="0.25">
      <c r="A79" s="93"/>
      <c r="B79" s="1" t="s">
        <v>168</v>
      </c>
      <c r="C79" s="1"/>
      <c r="D79" s="1"/>
      <c r="F79" s="87"/>
      <c r="G79" s="1" t="s">
        <v>143</v>
      </c>
      <c r="H79" s="1"/>
      <c r="I79" s="1"/>
    </row>
    <row r="80" spans="1:9" x14ac:dyDescent="0.25">
      <c r="A80" s="95"/>
      <c r="B80" s="96"/>
      <c r="C80" s="97"/>
      <c r="D80" s="1">
        <f>SUM(D77:D79)</f>
        <v>0</v>
      </c>
      <c r="F80" s="55"/>
      <c r="G80" s="55"/>
      <c r="H80" s="55"/>
      <c r="I80" s="1">
        <f>SUM(I74:I79)</f>
        <v>0</v>
      </c>
    </row>
    <row r="81" spans="1:9" x14ac:dyDescent="0.25">
      <c r="G81"/>
    </row>
    <row r="82" spans="1:9" x14ac:dyDescent="0.25">
      <c r="A82" s="91" t="s">
        <v>73</v>
      </c>
      <c r="B82" s="1" t="s">
        <v>0</v>
      </c>
      <c r="C82" s="1" t="s">
        <v>26</v>
      </c>
      <c r="D82" s="1" t="s">
        <v>2</v>
      </c>
      <c r="G82"/>
    </row>
    <row r="83" spans="1:9" x14ac:dyDescent="0.25">
      <c r="A83" s="92"/>
      <c r="B83" s="1" t="s">
        <v>210</v>
      </c>
      <c r="C83" s="1"/>
      <c r="D83" s="1"/>
      <c r="G83"/>
    </row>
    <row r="84" spans="1:9" x14ac:dyDescent="0.25">
      <c r="A84" s="92"/>
      <c r="B84" s="1" t="s">
        <v>152</v>
      </c>
      <c r="C84" s="1"/>
      <c r="D84" s="1"/>
      <c r="G84"/>
    </row>
    <row r="85" spans="1:9" x14ac:dyDescent="0.25">
      <c r="A85" s="92"/>
      <c r="B85" s="1" t="s">
        <v>74</v>
      </c>
      <c r="C85" s="1"/>
      <c r="D85" s="1"/>
      <c r="G85"/>
    </row>
    <row r="86" spans="1:9" x14ac:dyDescent="0.25">
      <c r="A86" s="92"/>
      <c r="B86" s="1" t="s">
        <v>170</v>
      </c>
      <c r="C86" s="1"/>
      <c r="D86" s="1"/>
      <c r="F86" s="86" t="s">
        <v>222</v>
      </c>
      <c r="G86" s="1" t="s">
        <v>0</v>
      </c>
      <c r="H86" s="1" t="s">
        <v>26</v>
      </c>
      <c r="I86" s="1" t="s">
        <v>2</v>
      </c>
    </row>
    <row r="87" spans="1:9" x14ac:dyDescent="0.25">
      <c r="A87" s="92"/>
      <c r="B87" s="1" t="s">
        <v>245</v>
      </c>
      <c r="C87" s="1"/>
      <c r="D87" s="1"/>
      <c r="F87" s="87"/>
      <c r="G87" s="1"/>
      <c r="H87" s="1"/>
      <c r="I87" s="1">
        <v>13</v>
      </c>
    </row>
    <row r="88" spans="1:9" x14ac:dyDescent="0.25">
      <c r="A88" s="92"/>
      <c r="B88" s="1" t="s">
        <v>246</v>
      </c>
      <c r="C88" s="1"/>
      <c r="D88" s="1"/>
      <c r="F88" s="87"/>
      <c r="G88" s="1"/>
      <c r="H88" s="1"/>
      <c r="I88" s="1">
        <v>3.3</v>
      </c>
    </row>
    <row r="89" spans="1:9" x14ac:dyDescent="0.25">
      <c r="A89" s="92"/>
      <c r="B89" s="1" t="s">
        <v>85</v>
      </c>
      <c r="C89" s="1"/>
      <c r="D89" s="1"/>
      <c r="F89" s="87"/>
      <c r="G89" s="1"/>
      <c r="H89" s="1"/>
      <c r="I89" s="1"/>
    </row>
    <row r="90" spans="1:9" x14ac:dyDescent="0.25">
      <c r="A90" s="55"/>
      <c r="B90" s="55"/>
      <c r="C90" s="55"/>
      <c r="D90" s="1">
        <f>SUM(D83:D89)</f>
        <v>0</v>
      </c>
      <c r="F90" s="87"/>
      <c r="G90" s="1"/>
      <c r="H90" s="1"/>
      <c r="I90" s="1"/>
    </row>
    <row r="91" spans="1:9" x14ac:dyDescent="0.25">
      <c r="F91" s="88"/>
      <c r="G91" s="1"/>
      <c r="H91" s="1"/>
      <c r="I91" s="1"/>
    </row>
    <row r="92" spans="1:9" x14ac:dyDescent="0.25">
      <c r="F92" s="55"/>
      <c r="G92" s="55"/>
      <c r="H92" s="55"/>
      <c r="I92" s="1">
        <f>SUM(I87:I91)</f>
        <v>16.3</v>
      </c>
    </row>
    <row r="94" spans="1:9" x14ac:dyDescent="0.25">
      <c r="G94"/>
    </row>
    <row r="95" spans="1:9" ht="15" customHeight="1" x14ac:dyDescent="0.25">
      <c r="G95"/>
    </row>
    <row r="96" spans="1:9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</sheetData>
  <mergeCells count="42">
    <mergeCell ref="A90:C90"/>
    <mergeCell ref="K11:K16"/>
    <mergeCell ref="K20:K25"/>
    <mergeCell ref="K26:M26"/>
    <mergeCell ref="F73:F79"/>
    <mergeCell ref="F80:H80"/>
    <mergeCell ref="F50:H50"/>
    <mergeCell ref="F28:F32"/>
    <mergeCell ref="F33:H33"/>
    <mergeCell ref="F26:H26"/>
    <mergeCell ref="F59:H59"/>
    <mergeCell ref="F62:F69"/>
    <mergeCell ref="F70:H70"/>
    <mergeCell ref="E54:E65"/>
    <mergeCell ref="A65:C65"/>
    <mergeCell ref="F92:H92"/>
    <mergeCell ref="A68:A73"/>
    <mergeCell ref="A74:C74"/>
    <mergeCell ref="A76:A79"/>
    <mergeCell ref="A39:A43"/>
    <mergeCell ref="A44:C44"/>
    <mergeCell ref="A47:A51"/>
    <mergeCell ref="A54:A64"/>
    <mergeCell ref="A52:C52"/>
    <mergeCell ref="F42:H42"/>
    <mergeCell ref="F44:F49"/>
    <mergeCell ref="A80:C80"/>
    <mergeCell ref="A82:A89"/>
    <mergeCell ref="F86:F91"/>
    <mergeCell ref="A66:D66"/>
    <mergeCell ref="F53:F58"/>
    <mergeCell ref="A23:A29"/>
    <mergeCell ref="A30:C30"/>
    <mergeCell ref="A32:A36"/>
    <mergeCell ref="A37:C37"/>
    <mergeCell ref="F20:F25"/>
    <mergeCell ref="F35:F41"/>
    <mergeCell ref="A2:A9"/>
    <mergeCell ref="A12:A19"/>
    <mergeCell ref="F2:F8"/>
    <mergeCell ref="F11:F17"/>
    <mergeCell ref="F18:H18"/>
  </mergeCells>
  <pageMargins left="0.7" right="0.7" top="0.75" bottom="0.75" header="0.3" footer="0.3"/>
  <pageSetup paperSize="9" scale="97" orientation="portrait" horizontalDpi="360" verticalDpi="360" r:id="rId1"/>
  <rowBreaks count="1" manualBreakCount="1">
    <brk id="52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signature</vt:lpstr>
      <vt:lpstr>fiche tech petit dej corrig (2)</vt:lpstr>
      <vt:lpstr>plaisir</vt:lpstr>
      <vt:lpstr>el baldy</vt:lpstr>
      <vt:lpstr>energie</vt:lpstr>
      <vt:lpstr>bonjour</vt:lpstr>
      <vt:lpstr>saveur</vt:lpstr>
      <vt:lpstr>composants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kermen naccache</cp:lastModifiedBy>
  <cp:lastPrinted>2026-05-25T12:17:56Z</cp:lastPrinted>
  <dcterms:created xsi:type="dcterms:W3CDTF">2025-12-13T18:50:19Z</dcterms:created>
  <dcterms:modified xsi:type="dcterms:W3CDTF">2026-07-08T12:39:47Z</dcterms:modified>
</cp:coreProperties>
</file>